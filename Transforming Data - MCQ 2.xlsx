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 of the use of water (" sheetId="1" r:id="rId4"/>
    <sheet state="visible" name="Summary sheet" sheetId="2" r:id="rId5"/>
    <sheet state="visible" name="Regions" sheetId="3" r:id="rId6"/>
  </sheets>
  <definedNames/>
  <calcPr/>
</workbook>
</file>

<file path=xl/sharedStrings.xml><?xml version="1.0" encoding="utf-8"?>
<sst xmlns="http://schemas.openxmlformats.org/spreadsheetml/2006/main" count="7904" uniqueCount="4278">
  <si>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</si>
  <si>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</si>
  <si>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</si>
  <si>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</si>
  <si>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</si>
  <si>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</si>
  <si>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</si>
  <si>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</si>
  <si>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</si>
  <si>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</si>
  <si>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</si>
  <si>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</si>
  <si>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</si>
  <si>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</si>
  <si>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</si>
  <si>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</si>
  <si>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y_diff</t>
  </si>
  <si>
    <t>ARC_n</t>
  </si>
  <si>
    <t>ARC_r</t>
  </si>
  <si>
    <t>ARC_u</t>
  </si>
  <si>
    <t>wat_bas_n(rounded)</t>
  </si>
  <si>
    <t>wat_bas_r(rounded)</t>
  </si>
  <si>
    <t>wat_bas_u(rounded)</t>
  </si>
  <si>
    <t>ARC_n_full</t>
  </si>
  <si>
    <t>ARC_r_full</t>
  </si>
  <si>
    <t>ARC_u_full</t>
  </si>
  <si>
    <t>ARC_diff</t>
  </si>
  <si>
    <t>Afghanistan</t>
  </si>
  <si>
    <t>2015</t>
  </si>
  <si>
    <t>34413.60156</t>
  </si>
  <si>
    <t>24.8029995</t>
  </si>
  <si>
    <t>61.33978081</t>
  </si>
  <si>
    <t>3.511199514</t>
  </si>
  <si>
    <t>22.16878383</t>
  </si>
  <si>
    <t>12.98023585</t>
  </si>
  <si>
    <t>52.98850202</t>
  </si>
  <si>
    <t>3.861136617</t>
  </si>
  <si>
    <t>26.55326757</t>
  </si>
  <si>
    <t>16.59709379</t>
  </si>
  <si>
    <t>86.65894072</t>
  </si>
  <si>
    <t>2.450270561</t>
  </si>
  <si>
    <t>8.876035732</t>
  </si>
  <si>
    <t>2.014752987</t>
  </si>
  <si>
    <t>2020</t>
  </si>
  <si>
    <t>38928.33984</t>
  </si>
  <si>
    <t>26.02599907</t>
  </si>
  <si>
    <t>75.09141325</t>
  </si>
  <si>
    <t>1.447541688</t>
  </si>
  <si>
    <t>14.56026288</t>
  </si>
  <si>
    <t>8.900782174</t>
  </si>
  <si>
    <t>66.32791521</t>
  </si>
  <si>
    <t>1.956824851</t>
  </si>
  <si>
    <t>19.68294895</t>
  </si>
  <si>
    <t>12.03231098</t>
  </si>
  <si>
    <t>100</t>
  </si>
  <si>
    <t>0</t>
  </si>
  <si>
    <t>Albania</t>
  </si>
  <si>
    <t>2890.523926</t>
  </si>
  <si>
    <t>57.43399811</t>
  </si>
  <si>
    <t>93.39432534</t>
  </si>
  <si>
    <t>3.626383658</t>
  </si>
  <si>
    <t>2.979291004</t>
  </si>
  <si>
    <t>90.62727461</t>
  </si>
  <si>
    <t>5.263172648</t>
  </si>
  <si>
    <t>4.109552744</t>
  </si>
  <si>
    <t>95.44506696</t>
  </si>
  <si>
    <t>2.41331182</t>
  </si>
  <si>
    <t>2.141621216</t>
  </si>
  <si>
    <t>2877.800049</t>
  </si>
  <si>
    <t>62.11199951</t>
  </si>
  <si>
    <t>95.06803883</t>
  </si>
  <si>
    <t>1.884656092</t>
  </si>
  <si>
    <t>3.047305081</t>
  </si>
  <si>
    <t>94.09135806</t>
  </si>
  <si>
    <t>2.305264955</t>
  </si>
  <si>
    <t>3.603376986</t>
  </si>
  <si>
    <t>95.66380912</t>
  </si>
  <si>
    <t>1.62808683</t>
  </si>
  <si>
    <t>2.708104054</t>
  </si>
  <si>
    <t>Algeria</t>
  </si>
  <si>
    <t>39728.01953</t>
  </si>
  <si>
    <t>70.84799957</t>
  </si>
  <si>
    <t>93.40956153</t>
  </si>
  <si>
    <t>5.157780893</t>
  </si>
  <si>
    <t>1.275464684</t>
  </si>
  <si>
    <t>0.1571928913</t>
  </si>
  <si>
    <t>88.35270686</t>
  </si>
  <si>
    <t>8.685753121</t>
  </si>
  <si>
    <t>2.580431801</t>
  </si>
  <si>
    <t>0.3811082155</t>
  </si>
  <si>
    <t>95.4903147</t>
  </si>
  <si>
    <t>3.706117317</t>
  </si>
  <si>
    <t>0.7385100851</t>
  </si>
  <si>
    <t>0.06505789753</t>
  </si>
  <si>
    <t>43851.04297</t>
  </si>
  <si>
    <t>73.73300171</t>
  </si>
  <si>
    <t>94.43732996</t>
  </si>
  <si>
    <t>4.985880842</t>
  </si>
  <si>
    <t>0.5318366638</t>
  </si>
  <si>
    <t>0.04495253272</t>
  </si>
  <si>
    <t>90.03753791</t>
  </si>
  <si>
    <t>8.79672214</t>
  </si>
  <si>
    <t>0.9946030281</t>
  </si>
  <si>
    <t>0.1711369258</t>
  </si>
  <si>
    <t>96.00473586</t>
  </si>
  <si>
    <t>3.628288591</t>
  </si>
  <si>
    <t>0.3669755478</t>
  </si>
  <si>
    <t>American Samoa</t>
  </si>
  <si>
    <t>55.80599976</t>
  </si>
  <si>
    <t>87.23800659</t>
  </si>
  <si>
    <t>99.61910315</t>
  </si>
  <si>
    <t>0.3808968461</t>
  </si>
  <si>
    <t>null</t>
  </si>
  <si>
    <t>55.1969986</t>
  </si>
  <si>
    <t>87.15299988</t>
  </si>
  <si>
    <t>99.77377166</t>
  </si>
  <si>
    <t>0.2262283415</t>
  </si>
  <si>
    <t>Andorra</t>
  </si>
  <si>
    <t>77.99299622</t>
  </si>
  <si>
    <t>88.34499359</t>
  </si>
  <si>
    <t>99.99999755</t>
  </si>
  <si>
    <t>0.000002445538357</t>
  </si>
  <si>
    <t>77.26499939</t>
  </si>
  <si>
    <t>87.91600037</t>
  </si>
  <si>
    <t>100.0000037</t>
  </si>
  <si>
    <t>Angola</t>
  </si>
  <si>
    <t>27884.38086</t>
  </si>
  <si>
    <t>63.44599533</t>
  </si>
  <si>
    <t>54.31692835</t>
  </si>
  <si>
    <t>11.36861866</t>
  </si>
  <si>
    <t>17.37235635</t>
  </si>
  <si>
    <t>16.94209664</t>
  </si>
  <si>
    <t>26.7143694</t>
  </si>
  <si>
    <t>9.931069288</t>
  </si>
  <si>
    <t>21.72530762</t>
  </si>
  <si>
    <t>41.62925369</t>
  </si>
  <si>
    <t>70.21996512</t>
  </si>
  <si>
    <t>12.19685349</t>
  </si>
  <si>
    <t>14.86443147</t>
  </si>
  <si>
    <t>2.718749921</t>
  </si>
  <si>
    <t>32866.26953</t>
  </si>
  <si>
    <t>66.82499695</t>
  </si>
  <si>
    <t>57.16773762</t>
  </si>
  <si>
    <t>9.287349919</t>
  </si>
  <si>
    <t>19.45082534</t>
  </si>
  <si>
    <t>14.09408712</t>
  </si>
  <si>
    <t>27.80822661</t>
  </si>
  <si>
    <t>8.740488389</t>
  </si>
  <si>
    <t>22.93315258</t>
  </si>
  <si>
    <t>40.51813242</t>
  </si>
  <si>
    <t>71.74314862</t>
  </si>
  <si>
    <t>9.558837489</t>
  </si>
  <si>
    <t>17.72203473</t>
  </si>
  <si>
    <t>0.9759791629</t>
  </si>
  <si>
    <t>Anguilla</t>
  </si>
  <si>
    <t>14.27900028</t>
  </si>
  <si>
    <t>97.48227425</t>
  </si>
  <si>
    <t>2.517725753</t>
  </si>
  <si>
    <t>2017</t>
  </si>
  <si>
    <t>14.5880003</t>
  </si>
  <si>
    <t>Antigua and Barbuda</t>
  </si>
  <si>
    <t>93.57099915</t>
  </si>
  <si>
    <t>25</t>
  </si>
  <si>
    <t>96.73918628</t>
  </si>
  <si>
    <t>3.16634761</t>
  </si>
  <si>
    <t>0.09446611409</t>
  </si>
  <si>
    <t>95.42500305</t>
  </si>
  <si>
    <t>24.71300125</t>
  </si>
  <si>
    <t>Argentina</t>
  </si>
  <si>
    <t>43075.41406</t>
  </si>
  <si>
    <t>91.50299835</t>
  </si>
  <si>
    <t>98.96658815</t>
  </si>
  <si>
    <t>0.6649143791</t>
  </si>
  <si>
    <t>0.3684974742</t>
  </si>
  <si>
    <t>92.98366005</t>
  </si>
  <si>
    <t>2.679544899</t>
  </si>
  <si>
    <t>4.336795051</t>
  </si>
  <si>
    <t>99.52216305</t>
  </si>
  <si>
    <t>0.4778369473</t>
  </si>
  <si>
    <t>45195.77734</t>
  </si>
  <si>
    <t>92.11100006</t>
  </si>
  <si>
    <t>99.79042065</t>
  </si>
  <si>
    <t>0.2095793501</t>
  </si>
  <si>
    <t>Armenia</t>
  </si>
  <si>
    <t>2925.559082</t>
  </si>
  <si>
    <t>63.0850029</t>
  </si>
  <si>
    <t>99.5525667</t>
  </si>
  <si>
    <t>0.09850508366</t>
  </si>
  <si>
    <t>0.3489282205</t>
  </si>
  <si>
    <t>99.05477927</t>
  </si>
  <si>
    <t>0.9452207347</t>
  </si>
  <si>
    <t>99.8438534</t>
  </si>
  <si>
    <t>0.1561465981</t>
  </si>
  <si>
    <t>2963.233887</t>
  </si>
  <si>
    <t>63.31299973</t>
  </si>
  <si>
    <t>99.97118069</t>
  </si>
  <si>
    <t>0.02881930801</t>
  </si>
  <si>
    <t>99.95448122</t>
  </si>
  <si>
    <t>0.04551878364</t>
  </si>
  <si>
    <t>Aruba</t>
  </si>
  <si>
    <t>104.3389969</t>
  </si>
  <si>
    <t>43.10800171</t>
  </si>
  <si>
    <t>97.86902338</t>
  </si>
  <si>
    <t>1.95993621</t>
  </si>
  <si>
    <t>0.1710404089</t>
  </si>
  <si>
    <t>2016</t>
  </si>
  <si>
    <t>104.8649979</t>
  </si>
  <si>
    <t>43.19199753</t>
  </si>
  <si>
    <t>Australia</t>
  </si>
  <si>
    <t>23932.49805</t>
  </si>
  <si>
    <t>85.70100403</t>
  </si>
  <si>
    <t>99.97000567</t>
  </si>
  <si>
    <t>0.02999433057</t>
  </si>
  <si>
    <t>99.965</t>
  </si>
  <si>
    <t>0.035</t>
  </si>
  <si>
    <t>25499.88086</t>
  </si>
  <si>
    <t>86.24099731</t>
  </si>
  <si>
    <t>99.96981182</t>
  </si>
  <si>
    <t>0.03018817873</t>
  </si>
  <si>
    <t>Austria</t>
  </si>
  <si>
    <t>8678.666992</t>
  </si>
  <si>
    <t>57.71500015</t>
  </si>
  <si>
    <t>9006.400391</t>
  </si>
  <si>
    <t>58.7480011</t>
  </si>
  <si>
    <t>Azerbaijan</t>
  </si>
  <si>
    <t>9622.741211</t>
  </si>
  <si>
    <t>54.7140007</t>
  </si>
  <si>
    <t>92.42031398</t>
  </si>
  <si>
    <t>1.002242415</t>
  </si>
  <si>
    <t>4.365089522</t>
  </si>
  <si>
    <t>2.21235408</t>
  </si>
  <si>
    <t>84.14321327</t>
  </si>
  <si>
    <t>2.213139731</t>
  </si>
  <si>
    <t>8.988206006</t>
  </si>
  <si>
    <t>4.655440992</t>
  </si>
  <si>
    <t>99.27115203</t>
  </si>
  <si>
    <t>0.5386020345</t>
  </si>
  <si>
    <t>0.1902459339</t>
  </si>
  <si>
    <t>10139.1748</t>
  </si>
  <si>
    <t>56.39700317</t>
  </si>
  <si>
    <t>96.04337613</t>
  </si>
  <si>
    <t>1.04278118</t>
  </si>
  <si>
    <t>2.913842688</t>
  </si>
  <si>
    <t>90.92579795</t>
  </si>
  <si>
    <t>2.391535671</t>
  </si>
  <si>
    <t>6.682666377</t>
  </si>
  <si>
    <t>Bahamas</t>
  </si>
  <si>
    <t>374.2000122</t>
  </si>
  <si>
    <t>82.74599457</t>
  </si>
  <si>
    <t>98.8869605</t>
  </si>
  <si>
    <t>1.113039503</t>
  </si>
  <si>
    <t>2019</t>
  </si>
  <si>
    <t>389.4859924</t>
  </si>
  <si>
    <t>83.13199615</t>
  </si>
  <si>
    <t>Bahrain</t>
  </si>
  <si>
    <t>1371.853027</t>
  </si>
  <si>
    <t>88.99899292</t>
  </si>
  <si>
    <t>1701.583008</t>
  </si>
  <si>
    <t>89.50600433</t>
  </si>
  <si>
    <t>Bangladesh</t>
  </si>
  <si>
    <t>156256.2813</t>
  </si>
  <si>
    <t>34.30800247</t>
  </si>
  <si>
    <t>97.10160247</t>
  </si>
  <si>
    <t>1.087988961</t>
  </si>
  <si>
    <t>0.7215616582</t>
  </si>
  <si>
    <t>1.08884691</t>
  </si>
  <si>
    <t>96.77301128</t>
  </si>
  <si>
    <t>1.046214162</t>
  </si>
  <si>
    <t>0.7317473217</t>
  </si>
  <si>
    <t>1.449027237</t>
  </si>
  <si>
    <t>97.73077968</t>
  </si>
  <si>
    <t>1.167978177</t>
  </si>
  <si>
    <t>0.702058435</t>
  </si>
  <si>
    <t>0.3991837074</t>
  </si>
  <si>
    <t>164689.3906</t>
  </si>
  <si>
    <t>38.17700195</t>
  </si>
  <si>
    <t>97.69796025</t>
  </si>
  <si>
    <t>1.156425878</t>
  </si>
  <si>
    <t>0.4626557002</t>
  </si>
  <si>
    <t>0.6829581735</t>
  </si>
  <si>
    <t>97.88023776</t>
  </si>
  <si>
    <t>0.8581049804</t>
  </si>
  <si>
    <t>0.3164802414</t>
  </si>
  <si>
    <t>0.9451770151</t>
  </si>
  <si>
    <t>97.40277797</t>
  </si>
  <si>
    <t>1.639520121</t>
  </si>
  <si>
    <t>0.6993752147</t>
  </si>
  <si>
    <t>0.2583266934</t>
  </si>
  <si>
    <t>Barbados</t>
  </si>
  <si>
    <t>285.3269958</t>
  </si>
  <si>
    <t>31.24899864</t>
  </si>
  <si>
    <t>98.47444474</t>
  </si>
  <si>
    <t>0.2674919064</t>
  </si>
  <si>
    <t>1.258063351</t>
  </si>
  <si>
    <t>287.3710022</t>
  </si>
  <si>
    <t>31.19099998</t>
  </si>
  <si>
    <t>98.51445042</t>
  </si>
  <si>
    <t>0.2676005761</t>
  </si>
  <si>
    <t>1.217949005</t>
  </si>
  <si>
    <t>Belarus</t>
  </si>
  <si>
    <t>9439.423828</t>
  </si>
  <si>
    <t>77.18099976</t>
  </si>
  <si>
    <t>96.47706709</t>
  </si>
  <si>
    <t>3.300130108</t>
  </si>
  <si>
    <t>0.2228027995</t>
  </si>
  <si>
    <t>98.3306716</t>
  </si>
  <si>
    <t>0.9932391071</t>
  </si>
  <si>
    <t>0.6760892895</t>
  </si>
  <si>
    <t>95.92903518</t>
  </si>
  <si>
    <t>3.982175393</t>
  </si>
  <si>
    <t>0.08878942383</t>
  </si>
  <si>
    <t>9449.321289</t>
  </si>
  <si>
    <t>79.48300171</t>
  </si>
  <si>
    <t>96.53472608</t>
  </si>
  <si>
    <t>3.37211955</t>
  </si>
  <si>
    <t>0.09315436837</t>
  </si>
  <si>
    <t>98.56412231</t>
  </si>
  <si>
    <t>0.9955971951</t>
  </si>
  <si>
    <t>0.4402804931</t>
  </si>
  <si>
    <t>96.01087362</t>
  </si>
  <si>
    <t>3.985572644</t>
  </si>
  <si>
    <t>0.003553731977</t>
  </si>
  <si>
    <t>Belgium</t>
  </si>
  <si>
    <t>11287.93066</t>
  </si>
  <si>
    <t>97.87599945</t>
  </si>
  <si>
    <t>99.9999977</t>
  </si>
  <si>
    <t>0.000002298024512</t>
  </si>
  <si>
    <t>11589.61621</t>
  </si>
  <si>
    <t>98.07899475</t>
  </si>
  <si>
    <t>99.99999645</t>
  </si>
  <si>
    <t>0.000003554796791</t>
  </si>
  <si>
    <t>Belize</t>
  </si>
  <si>
    <t>360.9259949</t>
  </si>
  <si>
    <t>45.40599823</t>
  </si>
  <si>
    <t>97.17559498</t>
  </si>
  <si>
    <t>1.227940493</t>
  </si>
  <si>
    <t>1.568222535</t>
  </si>
  <si>
    <t>0.02824198817</t>
  </si>
  <si>
    <t>95.65383206</t>
  </si>
  <si>
    <t>1.421919005</t>
  </si>
  <si>
    <t>2.872517994</t>
  </si>
  <si>
    <t>0.05173093576</t>
  </si>
  <si>
    <t>99.00529</t>
  </si>
  <si>
    <t>0.99471</t>
  </si>
  <si>
    <t>397.6210022</t>
  </si>
  <si>
    <t>46.02500153</t>
  </si>
  <si>
    <t>98.40195463</t>
  </si>
  <si>
    <t>1.249110629</t>
  </si>
  <si>
    <t>0.3489347411</t>
  </si>
  <si>
    <t>97.99520758</t>
  </si>
  <si>
    <t>1.358317682</t>
  </si>
  <si>
    <t>0.6464747393</t>
  </si>
  <si>
    <t>98.87896</t>
  </si>
  <si>
    <t>1.12104</t>
  </si>
  <si>
    <t>Benin</t>
  </si>
  <si>
    <t>10575.96191</t>
  </si>
  <si>
    <t>45.69500351</t>
  </si>
  <si>
    <t>64.7868223</t>
  </si>
  <si>
    <t>8.715470654</t>
  </si>
  <si>
    <t>21.29846434</t>
  </si>
  <si>
    <t>5.199242713</t>
  </si>
  <si>
    <t>56.78435247</t>
  </si>
  <si>
    <t>11.70337067</t>
  </si>
  <si>
    <t>23.77497857</t>
  </si>
  <si>
    <t>7.737298286</t>
  </si>
  <si>
    <t>74.29714256</t>
  </si>
  <si>
    <t>5.164581154</t>
  </si>
  <si>
    <t>18.35531753</t>
  </si>
  <si>
    <t>2.182958756</t>
  </si>
  <si>
    <t>12123.19824</t>
  </si>
  <si>
    <t>48.4149971</t>
  </si>
  <si>
    <t>65.41412299</t>
  </si>
  <si>
    <t>9.317535586</t>
  </si>
  <si>
    <t>21.97254088</t>
  </si>
  <si>
    <t>3.295800547</t>
  </si>
  <si>
    <t>58.05226799</t>
  </si>
  <si>
    <t>12.70520504</t>
  </si>
  <si>
    <t>23.97796833</t>
  </si>
  <si>
    <t>5.264558634</t>
  </si>
  <si>
    <t>73.25800004</t>
  </si>
  <si>
    <t>5.708056353</t>
  </si>
  <si>
    <t>19.83580681</t>
  </si>
  <si>
    <t>1.198136794</t>
  </si>
  <si>
    <t>Bermuda</t>
  </si>
  <si>
    <t>63.69499969</t>
  </si>
  <si>
    <t>99.90314002</t>
  </si>
  <si>
    <t>0.09685998294</t>
  </si>
  <si>
    <t>62.27299881</t>
  </si>
  <si>
    <t>Bhutan</t>
  </si>
  <si>
    <t>727.8850098</t>
  </si>
  <si>
    <t>38.6780014</t>
  </si>
  <si>
    <t>96.22142259</t>
  </si>
  <si>
    <t>2.496596292</t>
  </si>
  <si>
    <t>0.2961873751</t>
  </si>
  <si>
    <t>0.9857937377</t>
  </si>
  <si>
    <t>95.16436295</t>
  </si>
  <si>
    <t>3.215858941</t>
  </si>
  <si>
    <t>0.1935987005</t>
  </si>
  <si>
    <t>1.426179411</t>
  </si>
  <si>
    <t>97.89733678</t>
  </si>
  <si>
    <t>1.356242032</t>
  </si>
  <si>
    <t>0.4588364885</t>
  </si>
  <si>
    <t>0.2875847035</t>
  </si>
  <si>
    <t>771.6119995</t>
  </si>
  <si>
    <t>42.31599808</t>
  </si>
  <si>
    <t>97.31322263</t>
  </si>
  <si>
    <t>2.460712607</t>
  </si>
  <si>
    <t>0.1764242183</t>
  </si>
  <si>
    <t>0.04964054142</t>
  </si>
  <si>
    <t>96.73119365</t>
  </si>
  <si>
    <t>3.268806351</t>
  </si>
  <si>
    <t>98.10662849</t>
  </si>
  <si>
    <t>1.3591415</t>
  </si>
  <si>
    <t>0.4169208475</t>
  </si>
  <si>
    <t>0.1173091586</t>
  </si>
  <si>
    <t>Bolivia (Plurinational State of)</t>
  </si>
  <si>
    <t>10869.73242</t>
  </si>
  <si>
    <t>68.39299774</t>
  </si>
  <si>
    <t>90.46214101</t>
  </si>
  <si>
    <t>0.1728983981</t>
  </si>
  <si>
    <t>2.832457169</t>
  </si>
  <si>
    <t>6.532503425</t>
  </si>
  <si>
    <t>73.7401802</t>
  </si>
  <si>
    <t>0.3399687838</t>
  </si>
  <si>
    <t>5.911800536</t>
  </si>
  <si>
    <t>20.00805048</t>
  </si>
  <si>
    <t>98.18999708</t>
  </si>
  <si>
    <t>0.0956888341</t>
  </si>
  <si>
    <t>1.40937247</t>
  </si>
  <si>
    <t>0.304941615</t>
  </si>
  <si>
    <t>11673.0293</t>
  </si>
  <si>
    <t>70.1230011</t>
  </si>
  <si>
    <t>93.39007163</t>
  </si>
  <si>
    <t>0.1365905296</t>
  </si>
  <si>
    <t>1.575010843</t>
  </si>
  <si>
    <t>4.898326997</t>
  </si>
  <si>
    <t>79.93664283</t>
  </si>
  <si>
    <t>0.2447364082</t>
  </si>
  <si>
    <t>3.954133693</t>
  </si>
  <si>
    <t>15.86448707</t>
  </si>
  <si>
    <t>99.12211832</t>
  </si>
  <si>
    <t>0.09051328947</t>
  </si>
  <si>
    <t>0.5613453808</t>
  </si>
  <si>
    <t>0.2260230112</t>
  </si>
  <si>
    <t>Bosnia and Herzegovina</t>
  </si>
  <si>
    <t>3429.362061</t>
  </si>
  <si>
    <t>47.17299652</t>
  </si>
  <si>
    <t>96.15984418</t>
  </si>
  <si>
    <t>3.780069975</t>
  </si>
  <si>
    <t>0.06008584857</t>
  </si>
  <si>
    <t>97.33333333</t>
  </si>
  <si>
    <t>2.666666667</t>
  </si>
  <si>
    <t>94.8457044</t>
  </si>
  <si>
    <t>5.026922206</t>
  </si>
  <si>
    <t>0.1273733928</t>
  </si>
  <si>
    <t>3280.814941</t>
  </si>
  <si>
    <t>49.02000046</t>
  </si>
  <si>
    <t>96.11389762</t>
  </si>
  <si>
    <t>3.823663938</t>
  </si>
  <si>
    <t>0.06243843752</t>
  </si>
  <si>
    <t>Botswana</t>
  </si>
  <si>
    <t>2120.716064</t>
  </si>
  <si>
    <t>67.15499878</t>
  </si>
  <si>
    <t>88.44628953</t>
  </si>
  <si>
    <t>8.41061416</t>
  </si>
  <si>
    <t>1.578349601</t>
  </si>
  <si>
    <t>1.564746708</t>
  </si>
  <si>
    <t>71.89253383</t>
  </si>
  <si>
    <t>21.78932755</t>
  </si>
  <si>
    <t>1.854197906</t>
  </si>
  <si>
    <t>4.463940709</t>
  </si>
  <si>
    <t>96.54260258</t>
  </si>
  <si>
    <t>1.867186166</t>
  </si>
  <si>
    <t>1.443438497</t>
  </si>
  <si>
    <t>0.1467727616</t>
  </si>
  <si>
    <t>2351.625</t>
  </si>
  <si>
    <t>70.8769989</t>
  </si>
  <si>
    <t>92.21356307</t>
  </si>
  <si>
    <t>4.72303897</t>
  </si>
  <si>
    <t>1.732526476</t>
  </si>
  <si>
    <t>1.330871481</t>
  </si>
  <si>
    <t>79.04372386</t>
  </si>
  <si>
    <t>15.15494718</t>
  </si>
  <si>
    <t>1.596119156</t>
  </si>
  <si>
    <t>4.20520981</t>
  </si>
  <si>
    <t>97.62498058</t>
  </si>
  <si>
    <t>0.4366200322</t>
  </si>
  <si>
    <t>1.788579159</t>
  </si>
  <si>
    <t>0.1498202281</t>
  </si>
  <si>
    <t>Brazil</t>
  </si>
  <si>
    <t>204471.7656</t>
  </si>
  <si>
    <t>85.77000427</t>
  </si>
  <si>
    <t>97.80356759</t>
  </si>
  <si>
    <t>0.5795000229</t>
  </si>
  <si>
    <t>0.4749657091</t>
  </si>
  <si>
    <t>1.141966676</t>
  </si>
  <si>
    <t>88.75602818</t>
  </si>
  <si>
    <t>2.853773578</t>
  </si>
  <si>
    <t>0.3651342381</t>
  </si>
  <si>
    <t>8.025064008</t>
  </si>
  <si>
    <t>99.30463102</t>
  </si>
  <si>
    <t>0.2021779344</t>
  </si>
  <si>
    <t>0.4931910454</t>
  </si>
  <si>
    <t>212559.4063</t>
  </si>
  <si>
    <t>87.07299805</t>
  </si>
  <si>
    <t>99.32085299</t>
  </si>
  <si>
    <t>0.1265490039</t>
  </si>
  <si>
    <t>0.5525980099</t>
  </si>
  <si>
    <t>95.94525953</t>
  </si>
  <si>
    <t>0.9789509154</t>
  </si>
  <si>
    <t>3.075789551</t>
  </si>
  <si>
    <t>99.82200131</t>
  </si>
  <si>
    <t>0.1779986949</t>
  </si>
  <si>
    <t>British Virgin Islands</t>
  </si>
  <si>
    <t>29.14800072</t>
  </si>
  <si>
    <t>46.58300018</t>
  </si>
  <si>
    <t>99.86438356</t>
  </si>
  <si>
    <t>0.1356164384</t>
  </si>
  <si>
    <t>30.23699951</t>
  </si>
  <si>
    <t>48.51499939</t>
  </si>
  <si>
    <t>Brunei Darussalam</t>
  </si>
  <si>
    <t>414.9140015</t>
  </si>
  <si>
    <t>76.66299438</t>
  </si>
  <si>
    <t>99.50997616</t>
  </si>
  <si>
    <t>0.3966758338</t>
  </si>
  <si>
    <t>0.09334800295</t>
  </si>
  <si>
    <t>99.05</t>
  </si>
  <si>
    <t>0.55</t>
  </si>
  <si>
    <t>0.4</t>
  </si>
  <si>
    <t>99.65</t>
  </si>
  <si>
    <t>0.35</t>
  </si>
  <si>
    <t>437.4830017</t>
  </si>
  <si>
    <t>78.25000763</t>
  </si>
  <si>
    <t>99.9000368</t>
  </si>
  <si>
    <t>0.09996320036</t>
  </si>
  <si>
    <t>Bulgaria</t>
  </si>
  <si>
    <t>7199.73877</t>
  </si>
  <si>
    <t>73.98999786</t>
  </si>
  <si>
    <t>99.19632731</t>
  </si>
  <si>
    <t>0.8036726905</t>
  </si>
  <si>
    <t>98.01614034</t>
  </si>
  <si>
    <t>1.98385966</t>
  </si>
  <si>
    <t>99.61120772</t>
  </si>
  <si>
    <t>0.3887922761</t>
  </si>
  <si>
    <t>6948.444824</t>
  </si>
  <si>
    <t>75.68599701</t>
  </si>
  <si>
    <t>99.01141694</t>
  </si>
  <si>
    <t>0.9885830607</t>
  </si>
  <si>
    <t>97.40128797</t>
  </si>
  <si>
    <t>2.598712031</t>
  </si>
  <si>
    <t>99.5286704</t>
  </si>
  <si>
    <t>0.4713296007</t>
  </si>
  <si>
    <t>Burkina Faso</t>
  </si>
  <si>
    <t>18110.61523</t>
  </si>
  <si>
    <t>27.53000069</t>
  </si>
  <si>
    <t>50.13713109</t>
  </si>
  <si>
    <t>25.67354095</t>
  </si>
  <si>
    <t>22.43017891</t>
  </si>
  <si>
    <t>1.759149043</t>
  </si>
  <si>
    <t>38.8551637</t>
  </si>
  <si>
    <t>30.20218489</t>
  </si>
  <si>
    <t>28.6486943</t>
  </si>
  <si>
    <t>2.293957106</t>
  </si>
  <si>
    <t>79.83579216</t>
  </si>
  <si>
    <t>13.75233459</t>
  </si>
  <si>
    <t>6.060553432</t>
  </si>
  <si>
    <t>0.3513198178</t>
  </si>
  <si>
    <t>20903.27734</t>
  </si>
  <si>
    <t>30.60700035</t>
  </si>
  <si>
    <t>47.21485446</t>
  </si>
  <si>
    <t>31.2730034</t>
  </si>
  <si>
    <t>21.15863263</t>
  </si>
  <si>
    <t>0.3535095024</t>
  </si>
  <si>
    <t>32.7182589</t>
  </si>
  <si>
    <t>38.62690254</t>
  </si>
  <si>
    <t>28.3404457</t>
  </si>
  <si>
    <t>0.3143928626</t>
  </si>
  <si>
    <t>80.08191854</t>
  </si>
  <si>
    <t>14.60004919</t>
  </si>
  <si>
    <t>4.875836487</t>
  </si>
  <si>
    <t>0.4421957805</t>
  </si>
  <si>
    <t>Burundi</t>
  </si>
  <si>
    <t>10160.03418</t>
  </si>
  <si>
    <t>12.07800007</t>
  </si>
  <si>
    <t>59.58146925</t>
  </si>
  <si>
    <t>19.53889184</t>
  </si>
  <si>
    <t>14.86499258</t>
  </si>
  <si>
    <t>6.01464634</t>
  </si>
  <si>
    <t>55.55826691</t>
  </si>
  <si>
    <t>21.16679557</t>
  </si>
  <si>
    <t>16.59414457</t>
  </si>
  <si>
    <t>6.680792951</t>
  </si>
  <si>
    <t>88.86843759</t>
  </si>
  <si>
    <t>7.688539534</t>
  </si>
  <si>
    <t>2.277601866</t>
  </si>
  <si>
    <t>1.165421012</t>
  </si>
  <si>
    <t>11890.78125</t>
  </si>
  <si>
    <t>13.70800018</t>
  </si>
  <si>
    <t>62.20712225</t>
  </si>
  <si>
    <t>19.43969314</t>
  </si>
  <si>
    <t>14.75825969</t>
  </si>
  <si>
    <t>3.594924913</t>
  </si>
  <si>
    <t>57.68576527</t>
  </si>
  <si>
    <t>21.25148213</t>
  </si>
  <si>
    <t>16.89675238</t>
  </si>
  <si>
    <t>4.166000219</t>
  </si>
  <si>
    <t>90.66911086</t>
  </si>
  <si>
    <t>8.034462869</t>
  </si>
  <si>
    <t>1.296426269</t>
  </si>
  <si>
    <t>Cabo Verde</t>
  </si>
  <si>
    <t>524.7399902</t>
  </si>
  <si>
    <t>64.29999542</t>
  </si>
  <si>
    <t>85.44334237</t>
  </si>
  <si>
    <t>10.25307762</t>
  </si>
  <si>
    <t>4.151948319</t>
  </si>
  <si>
    <t>0.1516316911</t>
  </si>
  <si>
    <t>72.83231411</t>
  </si>
  <si>
    <t>16.37979458</t>
  </si>
  <si>
    <t>10.43676077</t>
  </si>
  <si>
    <t>0.3511305397</t>
  </si>
  <si>
    <t>92.44511451</t>
  </si>
  <si>
    <t>6.851463911</t>
  </si>
  <si>
    <t>0.6625536281</t>
  </si>
  <si>
    <t>0.0408679538</t>
  </si>
  <si>
    <t>555.9879761</t>
  </si>
  <si>
    <t>66.65200043</t>
  </si>
  <si>
    <t>88.76960642</t>
  </si>
  <si>
    <t>7.904150846</t>
  </si>
  <si>
    <t>3.209147716</t>
  </si>
  <si>
    <t>0.1170950144</t>
  </si>
  <si>
    <t>80.11452544</t>
  </si>
  <si>
    <t>9.911127022</t>
  </si>
  <si>
    <t>9.623217003</t>
  </si>
  <si>
    <t>93.1</t>
  </si>
  <si>
    <t>6.9</t>
  </si>
  <si>
    <t>Cambodia</t>
  </si>
  <si>
    <t>15521.43457</t>
  </si>
  <si>
    <t>22.18799973</t>
  </si>
  <si>
    <t>68.44384896</t>
  </si>
  <si>
    <t>8.603248193</t>
  </si>
  <si>
    <t>9.602994817</t>
  </si>
  <si>
    <t>13.34990803</t>
  </si>
  <si>
    <t>62.71111668</t>
  </si>
  <si>
    <t>9.432045638</t>
  </si>
  <si>
    <t>11.75089596</t>
  </si>
  <si>
    <t>16.10594172</t>
  </si>
  <si>
    <t>88.54819144</t>
  </si>
  <si>
    <t>5.696703472</t>
  </si>
  <si>
    <t>2.070445687</t>
  </si>
  <si>
    <t>3.6846594</t>
  </si>
  <si>
    <t>16718.9707</t>
  </si>
  <si>
    <t>24.23200035</t>
  </si>
  <si>
    <t>71.21988497</t>
  </si>
  <si>
    <t>13.90222204</t>
  </si>
  <si>
    <t>5.677218558</t>
  </si>
  <si>
    <t>9.200674434</t>
  </si>
  <si>
    <t>65.06715583</t>
  </si>
  <si>
    <t>15.51772278</t>
  </si>
  <si>
    <t>7.492899307</t>
  </si>
  <si>
    <t>11.92222209</t>
  </si>
  <si>
    <t>90.45807717</t>
  </si>
  <si>
    <t>8.85091472</t>
  </si>
  <si>
    <t>0.6910081144</t>
  </si>
  <si>
    <t>Cameroon</t>
  </si>
  <si>
    <t>23298.37695</t>
  </si>
  <si>
    <t>54.57799911</t>
  </si>
  <si>
    <t>63.97399012</t>
  </si>
  <si>
    <t>11.23827056</t>
  </si>
  <si>
    <t>17.65135833</t>
  </si>
  <si>
    <t>7.136380984</t>
  </si>
  <si>
    <t>42.00566921</t>
  </si>
  <si>
    <t>11.07338641</t>
  </si>
  <si>
    <t>32.39404459</t>
  </si>
  <si>
    <t>14.52689979</t>
  </si>
  <si>
    <t>82.25690791</t>
  </si>
  <si>
    <t>11.37549377</t>
  </si>
  <si>
    <t>5.381903513</t>
  </si>
  <si>
    <t>0.9856948028</t>
  </si>
  <si>
    <t>26545.86328</t>
  </si>
  <si>
    <t>57.56000519</t>
  </si>
  <si>
    <t>65.72041818</t>
  </si>
  <si>
    <t>12.87474863</t>
  </si>
  <si>
    <t>15.00100626</t>
  </si>
  <si>
    <t>6.403826927</t>
  </si>
  <si>
    <t>43.52758112</t>
  </si>
  <si>
    <t>12.67259943</t>
  </si>
  <si>
    <t>30.12380645</t>
  </si>
  <si>
    <t>13.676013</t>
  </si>
  <si>
    <t>82.08358486</t>
  </si>
  <si>
    <t>13.02379677</t>
  </si>
  <si>
    <t>3.850701351</t>
  </si>
  <si>
    <t>1.041917019</t>
  </si>
  <si>
    <t>Canada</t>
  </si>
  <si>
    <t>36026.66797</t>
  </si>
  <si>
    <t>81.25900269</t>
  </si>
  <si>
    <t>99.22922139</t>
  </si>
  <si>
    <t>0.7707786091</t>
  </si>
  <si>
    <t>98.81619508</t>
  </si>
  <si>
    <t>1.183804922</t>
  </si>
  <si>
    <t>99.32447885</t>
  </si>
  <si>
    <t>0.6755211473</t>
  </si>
  <si>
    <t>37742.15625</t>
  </si>
  <si>
    <t>81.56200409</t>
  </si>
  <si>
    <t>99.22181066</t>
  </si>
  <si>
    <t>0.7781893369</t>
  </si>
  <si>
    <t>99.0604959</t>
  </si>
  <si>
    <t>0.9395041006</t>
  </si>
  <si>
    <t>99.25827766</t>
  </si>
  <si>
    <t>0.7417223371</t>
  </si>
  <si>
    <t>Cayman Islands</t>
  </si>
  <si>
    <t>61.72100067</t>
  </si>
  <si>
    <t>96.125</t>
  </si>
  <si>
    <t>3.875</t>
  </si>
  <si>
    <t>62.56399918</t>
  </si>
  <si>
    <t>Central African Republic</t>
  </si>
  <si>
    <t>4493.170898</t>
  </si>
  <si>
    <t>40.27700043</t>
  </si>
  <si>
    <t>42.31134542</t>
  </si>
  <si>
    <t>21.34399718</t>
  </si>
  <si>
    <t>32.01017408</t>
  </si>
  <si>
    <t>4.334483318</t>
  </si>
  <si>
    <t>31.89140779</t>
  </si>
  <si>
    <t>17.35785358</t>
  </si>
  <si>
    <t>43.70260925</t>
  </si>
  <si>
    <t>7.048129392</t>
  </si>
  <si>
    <t>57.76209901</t>
  </si>
  <si>
    <t>27.25467806</t>
  </si>
  <si>
    <t>14.67255123</t>
  </si>
  <si>
    <t>0.310671709</t>
  </si>
  <si>
    <t>4829.76416</t>
  </si>
  <si>
    <t>42.19799805</t>
  </si>
  <si>
    <t>37.20240205</t>
  </si>
  <si>
    <t>25.68237348</t>
  </si>
  <si>
    <t>33.53911377</t>
  </si>
  <si>
    <t>3.576110708</t>
  </si>
  <si>
    <t>28.10659415</t>
  </si>
  <si>
    <t>19.4058899</t>
  </si>
  <si>
    <t>46.37307301</t>
  </si>
  <si>
    <t>6.114442944</t>
  </si>
  <si>
    <t>49.66166495</t>
  </si>
  <si>
    <t>34.27978009</t>
  </si>
  <si>
    <t>15.95940214</t>
  </si>
  <si>
    <t>0.09915281712</t>
  </si>
  <si>
    <t>Chad</t>
  </si>
  <si>
    <t>14110.9707</t>
  </si>
  <si>
    <t>22.5150013</t>
  </si>
  <si>
    <t>44.39909697</t>
  </si>
  <si>
    <t>13.51638311</t>
  </si>
  <si>
    <t>34.70273994</t>
  </si>
  <si>
    <t>7.381779982</t>
  </si>
  <si>
    <t>35.57890074</t>
  </si>
  <si>
    <t>13.87641398</t>
  </si>
  <si>
    <t>41.26615647</t>
  </si>
  <si>
    <t>9.278528806</t>
  </si>
  <si>
    <t>74.75365178</t>
  </si>
  <si>
    <t>12.27734182</t>
  </si>
  <si>
    <t>12.11485643</t>
  </si>
  <si>
    <t>0.8541499715</t>
  </si>
  <si>
    <t>16425.85938</t>
  </si>
  <si>
    <t>23.52000046</t>
  </si>
  <si>
    <t>46.18753479</t>
  </si>
  <si>
    <t>14.74028929</t>
  </si>
  <si>
    <t>31.56245714</t>
  </si>
  <si>
    <t>7.509718784</t>
  </si>
  <si>
    <t>37.57521525</t>
  </si>
  <si>
    <t>14.35396111</t>
  </si>
  <si>
    <t>38.52496761</t>
  </si>
  <si>
    <t>9.545856027</t>
  </si>
  <si>
    <t>74.19222309</t>
  </si>
  <si>
    <t>15.99651381</t>
  </si>
  <si>
    <t>8.922452721</t>
  </si>
  <si>
    <t>0.8888103843</t>
  </si>
  <si>
    <t>Channel Islands</t>
  </si>
  <si>
    <t>165.3869934</t>
  </si>
  <si>
    <t>30.96199799</t>
  </si>
  <si>
    <t>94.15</t>
  </si>
  <si>
    <t>5.85</t>
  </si>
  <si>
    <t>168.6660004</t>
  </si>
  <si>
    <t>30.91399956</t>
  </si>
  <si>
    <t>Chile</t>
  </si>
  <si>
    <t>17969.35547</t>
  </si>
  <si>
    <t>87.36000061</t>
  </si>
  <si>
    <t>99.50649272</t>
  </si>
  <si>
    <t>0.4935072758</t>
  </si>
  <si>
    <t>97.0676985</t>
  </si>
  <si>
    <t>2.932301498</t>
  </si>
  <si>
    <t>99.85935698</t>
  </si>
  <si>
    <t>0.1406430186</t>
  </si>
  <si>
    <t>19116.20898</t>
  </si>
  <si>
    <t>87.72699738</t>
  </si>
  <si>
    <t>99.99999872</t>
  </si>
  <si>
    <t>0.000001277139333</t>
  </si>
  <si>
    <t>China</t>
  </si>
  <si>
    <t>1430405.375</t>
  </si>
  <si>
    <t>55.85270691</t>
  </si>
  <si>
    <t>91.76264123</t>
  </si>
  <si>
    <t>0.8187626618</t>
  </si>
  <si>
    <t>6.782077407</t>
  </si>
  <si>
    <t>0.6365187008</t>
  </si>
  <si>
    <t>84.47918792</t>
  </si>
  <si>
    <t>1.51186307</t>
  </si>
  <si>
    <t>12.95294901</t>
  </si>
  <si>
    <t>1.056</t>
  </si>
  <si>
    <t>97.51965397</t>
  </si>
  <si>
    <t>0.2709198039</t>
  </si>
  <si>
    <t>1.90447541</t>
  </si>
  <si>
    <t>0.3049508197</t>
  </si>
  <si>
    <t>1463140.5</t>
  </si>
  <si>
    <t>61.71308899</t>
  </si>
  <si>
    <t>94.26111059</t>
  </si>
  <si>
    <t>0.8147213297</t>
  </si>
  <si>
    <t>4.725451938</t>
  </si>
  <si>
    <t>0.1987161441</t>
  </si>
  <si>
    <t>89.66123351</t>
  </si>
  <si>
    <t>1.832679086</t>
  </si>
  <si>
    <t>8.506087409</t>
  </si>
  <si>
    <t>97.11488267</t>
  </si>
  <si>
    <t>0.1831784927</t>
  </si>
  <si>
    <t>2.37993884</t>
  </si>
  <si>
    <t>0.322</t>
  </si>
  <si>
    <t>China, Hong Kong SAR</t>
  </si>
  <si>
    <t>7185.992188</t>
  </si>
  <si>
    <t>7496.987793</t>
  </si>
  <si>
    <t>China, Macao SAR</t>
  </si>
  <si>
    <t>602.0930176</t>
  </si>
  <si>
    <t>649.34198</t>
  </si>
  <si>
    <t>Colombia</t>
  </si>
  <si>
    <t>47520.66797</t>
  </si>
  <si>
    <t>79.76399994</t>
  </si>
  <si>
    <t>96.33586812</t>
  </si>
  <si>
    <t>0.1840519904</t>
  </si>
  <si>
    <t>1.703445062</t>
  </si>
  <si>
    <t>1.776634827</t>
  </si>
  <si>
    <t>83.27372585</t>
  </si>
  <si>
    <t>0.6876656261</t>
  </si>
  <si>
    <t>7.259032355</t>
  </si>
  <si>
    <t>8.779576172</t>
  </si>
  <si>
    <t>99.64971237</t>
  </si>
  <si>
    <t>0.05628603022</t>
  </si>
  <si>
    <t>0.2940016029</t>
  </si>
  <si>
    <t>50882.88281</t>
  </si>
  <si>
    <t>81.42499542</t>
  </si>
  <si>
    <t>97.49165711</t>
  </si>
  <si>
    <t>0.1861521591</t>
  </si>
  <si>
    <t>0.9536162228</t>
  </si>
  <si>
    <t>1.368574512</t>
  </si>
  <si>
    <t>86.76707282</t>
  </si>
  <si>
    <t>0.7312282016</t>
  </si>
  <si>
    <t>5.13386897</t>
  </si>
  <si>
    <t>7.367830005</t>
  </si>
  <si>
    <t>99.9381928</t>
  </si>
  <si>
    <t>0.0618072</t>
  </si>
  <si>
    <t>Comoros</t>
  </si>
  <si>
    <t>777.4349976</t>
  </si>
  <si>
    <t>28.47000122</t>
  </si>
  <si>
    <t>80.13200008</t>
  </si>
  <si>
    <t>10.877265</t>
  </si>
  <si>
    <t>8.395193432</t>
  </si>
  <si>
    <t>0.5955414912</t>
  </si>
  <si>
    <t>76.91172345</t>
  </si>
  <si>
    <t>11.56864724</t>
  </si>
  <si>
    <t>10.82245445</t>
  </si>
  <si>
    <t>0.6971748583</t>
  </si>
  <si>
    <t>88.22284558</t>
  </si>
  <si>
    <t>9.140188495</t>
  </si>
  <si>
    <t>2.29677513</t>
  </si>
  <si>
    <t>0.340190797</t>
  </si>
  <si>
    <t>850.8909912</t>
  </si>
  <si>
    <t>29.16400146</t>
  </si>
  <si>
    <t>80.21049781</t>
  </si>
  <si>
    <t>10.86041131</t>
  </si>
  <si>
    <t>8.929090888</t>
  </si>
  <si>
    <t>11.51962931</t>
  </si>
  <si>
    <t>Congo</t>
  </si>
  <si>
    <t>4856.092773</t>
  </si>
  <si>
    <t>65.54299927</t>
  </si>
  <si>
    <t>71.14958177</t>
  </si>
  <si>
    <t>10.51052605</t>
  </si>
  <si>
    <t>11.66204631</t>
  </si>
  <si>
    <t>6.677845876</t>
  </si>
  <si>
    <t>41.39183594</t>
  </si>
  <si>
    <t>10.73957265</t>
  </si>
  <si>
    <t>28.50184871</t>
  </si>
  <si>
    <t>19.36674269</t>
  </si>
  <si>
    <t>86.79370516</t>
  </si>
  <si>
    <t>10.390113</t>
  </si>
  <si>
    <t>2.809090742</t>
  </si>
  <si>
    <t>0.00709109589</t>
  </si>
  <si>
    <t>5518.091797</t>
  </si>
  <si>
    <t>67.82900238</t>
  </si>
  <si>
    <t>73.78451158</t>
  </si>
  <si>
    <t>10.46117203</t>
  </si>
  <si>
    <t>9.559180722</t>
  </si>
  <si>
    <t>6.195135664</t>
  </si>
  <si>
    <t>45.72441318</t>
  </si>
  <si>
    <t>10.6323901</t>
  </si>
  <si>
    <t>24.40516973</t>
  </si>
  <si>
    <t>19.23802699</t>
  </si>
  <si>
    <t>87.09329616</t>
  </si>
  <si>
    <t>10.37996439</t>
  </si>
  <si>
    <t>2.517789997</t>
  </si>
  <si>
    <t>0.008949452055</t>
  </si>
  <si>
    <t>Cook Islands</t>
  </si>
  <si>
    <t>17.58099937</t>
  </si>
  <si>
    <t>74.40399933</t>
  </si>
  <si>
    <t>99.95367102</t>
  </si>
  <si>
    <t>0.04632897629</t>
  </si>
  <si>
    <t>17.56399918</t>
  </si>
  <si>
    <t>75.49500275</t>
  </si>
  <si>
    <t>99.97161022</t>
  </si>
  <si>
    <t>0.0283897827</t>
  </si>
  <si>
    <t>Costa Rica</t>
  </si>
  <si>
    <t>4847.805176</t>
  </si>
  <si>
    <t>76.86199951</t>
  </si>
  <si>
    <t>99.37868682</t>
  </si>
  <si>
    <t>0.2541303784</t>
  </si>
  <si>
    <t>0.2113350186</t>
  </si>
  <si>
    <t>0.1558477843</t>
  </si>
  <si>
    <t>98.18603249</t>
  </si>
  <si>
    <t>0.4100611535</t>
  </si>
  <si>
    <t>0.7303485768</t>
  </si>
  <si>
    <t>0.6735577778</t>
  </si>
  <si>
    <t>99.73771511</t>
  </si>
  <si>
    <t>0.2071900718</t>
  </si>
  <si>
    <t>0.0550948183</t>
  </si>
  <si>
    <t>5094.11377</t>
  </si>
  <si>
    <t>80.77099609</t>
  </si>
  <si>
    <t>99.81053693</t>
  </si>
  <si>
    <t>0.1894594746</t>
  </si>
  <si>
    <t>0.000003594451897</t>
  </si>
  <si>
    <t>99.64625</t>
  </si>
  <si>
    <t>0.35375</t>
  </si>
  <si>
    <t>99.84965286</t>
  </si>
  <si>
    <t>0.1503471429</t>
  </si>
  <si>
    <t>Côte d'Ivoire</t>
  </si>
  <si>
    <t>23226.14844</t>
  </si>
  <si>
    <t>49.44400024</t>
  </si>
  <si>
    <t>71.0757669</t>
  </si>
  <si>
    <t>8.767136459</t>
  </si>
  <si>
    <t>14.41768054</t>
  </si>
  <si>
    <t>5.739416095</t>
  </si>
  <si>
    <t>55.84317172</t>
  </si>
  <si>
    <t>13.1884673</t>
  </si>
  <si>
    <t>22.63128471</t>
  </si>
  <si>
    <t>8.337076273</t>
  </si>
  <si>
    <t>86.65094535</t>
  </si>
  <si>
    <t>4.246369254</t>
  </si>
  <si>
    <t>6.019351236</t>
  </si>
  <si>
    <t>3.083334164</t>
  </si>
  <si>
    <t>26378.27539</t>
  </si>
  <si>
    <t>51.70599747</t>
  </si>
  <si>
    <t>70.90907039</t>
  </si>
  <si>
    <t>8.935421702</t>
  </si>
  <si>
    <t>14.19244161</t>
  </si>
  <si>
    <t>5.963066293</t>
  </si>
  <si>
    <t>55.72244686</t>
  </si>
  <si>
    <t>13.34316829</t>
  </si>
  <si>
    <t>23.17527956</t>
  </si>
  <si>
    <t>7.759105289</t>
  </si>
  <si>
    <t>85.09355329</t>
  </si>
  <si>
    <t>4.818535156</t>
  </si>
  <si>
    <t>5.80236656</t>
  </si>
  <si>
    <t>4.285544994</t>
  </si>
  <si>
    <t>Croatia</t>
  </si>
  <si>
    <t>4232.874023</t>
  </si>
  <si>
    <t>56.15500259</t>
  </si>
  <si>
    <t>4105.268066</t>
  </si>
  <si>
    <t>57.55299759</t>
  </si>
  <si>
    <t>Cuba</t>
  </si>
  <si>
    <t>11324.77734</t>
  </si>
  <si>
    <t>76.89600372</t>
  </si>
  <si>
    <t>95.87179647</t>
  </si>
  <si>
    <t>1.750253789</t>
  </si>
  <si>
    <t>1.99464</t>
  </si>
  <si>
    <t>0.3833097362</t>
  </si>
  <si>
    <t>90.44506066</t>
  </si>
  <si>
    <t>3.362197131</t>
  </si>
  <si>
    <t>4.747322467</t>
  </si>
  <si>
    <t>1.445419738</t>
  </si>
  <si>
    <t>97.50230137</t>
  </si>
  <si>
    <t>1.2659329</t>
  </si>
  <si>
    <t>1.167575187</t>
  </si>
  <si>
    <t>0.06419054206</t>
  </si>
  <si>
    <t>11326.61621</t>
  </si>
  <si>
    <t>77.19400024</t>
  </si>
  <si>
    <t>97.00269616</t>
  </si>
  <si>
    <t>1.471384542</t>
  </si>
  <si>
    <t>1.252811506</t>
  </si>
  <si>
    <t>0.2731077963</t>
  </si>
  <si>
    <t>94.38665114</t>
  </si>
  <si>
    <t>2.591752445</t>
  </si>
  <si>
    <t>1.905972935</t>
  </si>
  <si>
    <t>1.115623477</t>
  </si>
  <si>
    <t>97.77557664</t>
  </si>
  <si>
    <t>1.1403859</t>
  </si>
  <si>
    <t>1.059840374</t>
  </si>
  <si>
    <t>0.02419708411</t>
  </si>
  <si>
    <t>Curaçao</t>
  </si>
  <si>
    <t>159.8500061</t>
  </si>
  <si>
    <t>89.35199738</t>
  </si>
  <si>
    <t>99.49775185</t>
  </si>
  <si>
    <t>0.5022481525</t>
  </si>
  <si>
    <t>161.9859924</t>
  </si>
  <si>
    <t>89.20300293</t>
  </si>
  <si>
    <t>Cyprus</t>
  </si>
  <si>
    <t>1160.987061</t>
  </si>
  <si>
    <t>66.94599915</t>
  </si>
  <si>
    <t>99.78851757</t>
  </si>
  <si>
    <t>0.2114824349</t>
  </si>
  <si>
    <t>99.86118554</t>
  </si>
  <si>
    <t>0.1388144553</t>
  </si>
  <si>
    <t>99.75264231</t>
  </si>
  <si>
    <t>0.2473576943</t>
  </si>
  <si>
    <t>1207.360962</t>
  </si>
  <si>
    <t>66.82099915</t>
  </si>
  <si>
    <t>99.76517318</t>
  </si>
  <si>
    <t>0.2348268167</t>
  </si>
  <si>
    <t>99.84576172</t>
  </si>
  <si>
    <t>0.1542382836</t>
  </si>
  <si>
    <t>99.72515812</t>
  </si>
  <si>
    <t>0.2748418825</t>
  </si>
  <si>
    <t>Czech Republic</t>
  </si>
  <si>
    <t>10601.38965</t>
  </si>
  <si>
    <t>73.47699738</t>
  </si>
  <si>
    <t>99.88009269</t>
  </si>
  <si>
    <t>0.1199073119</t>
  </si>
  <si>
    <t>99.8175993</t>
  </si>
  <si>
    <t>0.1824006965</t>
  </si>
  <si>
    <t>99.90265093</t>
  </si>
  <si>
    <t>0.0973490679</t>
  </si>
  <si>
    <t>10708.98242</t>
  </si>
  <si>
    <t>74.06100464</t>
  </si>
  <si>
    <t>99.88059167</t>
  </si>
  <si>
    <t>0.1194083325</t>
  </si>
  <si>
    <t>Democratic People's Republic of Korea</t>
  </si>
  <si>
    <t>25183.83203</t>
  </si>
  <si>
    <t>61.27700424</t>
  </si>
  <si>
    <t>95.21488171</t>
  </si>
  <si>
    <t>0.6850023901</t>
  </si>
  <si>
    <t>3.829054918</t>
  </si>
  <si>
    <t>0.2710609803</t>
  </si>
  <si>
    <t>91.61696842</t>
  </si>
  <si>
    <t>0.3679396322</t>
  </si>
  <si>
    <t>7.315091944</t>
  </si>
  <si>
    <t>0.7</t>
  </si>
  <si>
    <t>97.48852402</t>
  </si>
  <si>
    <t>0.8853650012</t>
  </si>
  <si>
    <t>1.626110978</t>
  </si>
  <si>
    <t>25778.81445</t>
  </si>
  <si>
    <t>62.38100052</t>
  </si>
  <si>
    <t>93.84384303</t>
  </si>
  <si>
    <t>0.6831311872</t>
  </si>
  <si>
    <t>5.20969278</t>
  </si>
  <si>
    <t>0.2633330058</t>
  </si>
  <si>
    <t>88.75362488</t>
  </si>
  <si>
    <t>0.3564402606</t>
  </si>
  <si>
    <t>10.18993486</t>
  </si>
  <si>
    <t>96.91351044</t>
  </si>
  <si>
    <t>0.8801428799</t>
  </si>
  <si>
    <t>2.206346677</t>
  </si>
  <si>
    <t>Democratic Republic of the Congo</t>
  </si>
  <si>
    <t>76244.53125</t>
  </si>
  <si>
    <t>42.73999786</t>
  </si>
  <si>
    <t>42.71817997</t>
  </si>
  <si>
    <t>12.68729907</t>
  </si>
  <si>
    <t>34.28402477</t>
  </si>
  <si>
    <t>10.31049619</t>
  </si>
  <si>
    <t>20.6225138</t>
  </si>
  <si>
    <t>11.51689397</t>
  </si>
  <si>
    <t>51.00984003</t>
  </si>
  <si>
    <t>16.8507522</t>
  </si>
  <si>
    <t>72.32037779</t>
  </si>
  <si>
    <t>14.25532498</t>
  </si>
  <si>
    <t>11.87596826</t>
  </si>
  <si>
    <t>1.548328967</t>
  </si>
  <si>
    <t>89561.40625</t>
  </si>
  <si>
    <t>45.63800049</t>
  </si>
  <si>
    <t>45.95212696</t>
  </si>
  <si>
    <t>13.44122447</t>
  </si>
  <si>
    <t>32.54231607</t>
  </si>
  <si>
    <t>8.064332495</t>
  </si>
  <si>
    <t>21.98279234</t>
  </si>
  <si>
    <t>12.68294146</t>
  </si>
  <si>
    <t>51.21598167</t>
  </si>
  <si>
    <t>14.11828453</t>
  </si>
  <si>
    <t>74.50335478</t>
  </si>
  <si>
    <t>14.34445818</t>
  </si>
  <si>
    <t>10.29905862</t>
  </si>
  <si>
    <t>0.8531284131</t>
  </si>
  <si>
    <t>Denmark</t>
  </si>
  <si>
    <t>5688.694824</t>
  </si>
  <si>
    <t>87.52600098</t>
  </si>
  <si>
    <t>99.99999785</t>
  </si>
  <si>
    <t>0.000002145840412</t>
  </si>
  <si>
    <t>5792.203125</t>
  </si>
  <si>
    <t>88.11600494</t>
  </si>
  <si>
    <t>100.0000011</t>
  </si>
  <si>
    <t>Djibouti</t>
  </si>
  <si>
    <t>913.9979858</t>
  </si>
  <si>
    <t>77.41699219</t>
  </si>
  <si>
    <t>75.78704503</t>
  </si>
  <si>
    <t>14.75417119</t>
  </si>
  <si>
    <t>7.39492395</t>
  </si>
  <si>
    <t>2.063859825</t>
  </si>
  <si>
    <t>48.75920509</t>
  </si>
  <si>
    <t>12.43877762</t>
  </si>
  <si>
    <t>30.37700254</t>
  </si>
  <si>
    <t>8.425014754</t>
  </si>
  <si>
    <t>83.67122985</t>
  </si>
  <si>
    <t>15.42958572</t>
  </si>
  <si>
    <t>0.6909116479</t>
  </si>
  <si>
    <t>0.2082727854</t>
  </si>
  <si>
    <t>988.0020142</t>
  </si>
  <si>
    <t>78.06199646</t>
  </si>
  <si>
    <t>76.04992021</t>
  </si>
  <si>
    <t>14.7574817</t>
  </si>
  <si>
    <t>7.015876051</t>
  </si>
  <si>
    <t>2.176722038</t>
  </si>
  <si>
    <t>47.28073293</t>
  </si>
  <si>
    <t>12.06161014</t>
  </si>
  <si>
    <t>30.73550468</t>
  </si>
  <si>
    <t>9.922152249</t>
  </si>
  <si>
    <t>84.13501493</t>
  </si>
  <si>
    <t>15.51511107</t>
  </si>
  <si>
    <t>0.3498740029</t>
  </si>
  <si>
    <t>Dominica</t>
  </si>
  <si>
    <t>71.17500305</t>
  </si>
  <si>
    <t>69.57899475</t>
  </si>
  <si>
    <t>95.42065606</t>
  </si>
  <si>
    <t>4.579343937</t>
  </si>
  <si>
    <t>71.45999908</t>
  </si>
  <si>
    <t>70.18099976</t>
  </si>
  <si>
    <t>Dominican Republic</t>
  </si>
  <si>
    <t>10281.6748</t>
  </si>
  <si>
    <t>78.56600189</t>
  </si>
  <si>
    <t>96.0993385</t>
  </si>
  <si>
    <t>0.6952122155</t>
  </si>
  <si>
    <t>1.550594498</t>
  </si>
  <si>
    <t>1.654854791</t>
  </si>
  <si>
    <t>89.21104378</t>
  </si>
  <si>
    <t>1.822877161</t>
  </si>
  <si>
    <t>2.441888623</t>
  </si>
  <si>
    <t>6.52419044</t>
  </si>
  <si>
    <t>97.97856981</t>
  </si>
  <si>
    <t>0.3875681084</t>
  </si>
  <si>
    <t>1.307435937</t>
  </si>
  <si>
    <t>0.3264261435</t>
  </si>
  <si>
    <t>10847.9043</t>
  </si>
  <si>
    <t>82.54000092</t>
  </si>
  <si>
    <t>96.68681192</t>
  </si>
  <si>
    <t>0.4670386504</t>
  </si>
  <si>
    <t>1.269428783</t>
  </si>
  <si>
    <t>1.576720644</t>
  </si>
  <si>
    <t>90.30446437</t>
  </si>
  <si>
    <t>1.385315508</t>
  </si>
  <si>
    <t>1.115118127</t>
  </si>
  <si>
    <t>7.195101991</t>
  </si>
  <si>
    <t>98.03689158</t>
  </si>
  <si>
    <t>0.2727920359</t>
  </si>
  <si>
    <t>1.302073396</t>
  </si>
  <si>
    <t>0.3882429922</t>
  </si>
  <si>
    <t>Ecuador</t>
  </si>
  <si>
    <t>16212.02246</t>
  </si>
  <si>
    <t>63.39799881</t>
  </si>
  <si>
    <t>93.0637795</t>
  </si>
  <si>
    <t>0.1997601763</t>
  </si>
  <si>
    <t>3.119565114</t>
  </si>
  <si>
    <t>3.616895212</t>
  </si>
  <si>
    <t>82.55248195</t>
  </si>
  <si>
    <t>0.445629255</t>
  </si>
  <si>
    <t>7.379055031</t>
  </si>
  <si>
    <t>9.62283376</t>
  </si>
  <si>
    <t>99.1323392</t>
  </si>
  <si>
    <t>0.0578108902</t>
  </si>
  <si>
    <t>0.6604045069</t>
  </si>
  <si>
    <t>0.1494454068</t>
  </si>
  <si>
    <t>17643.06055</t>
  </si>
  <si>
    <t>64.16600037</t>
  </si>
  <si>
    <t>95.35976356</t>
  </si>
  <si>
    <t>0.003451463449</t>
  </si>
  <si>
    <t>2.604485389</t>
  </si>
  <si>
    <t>2.032299589</t>
  </si>
  <si>
    <t>87.05074495</t>
  </si>
  <si>
    <t>0.009631811022</t>
  </si>
  <si>
    <t>7.26819549</t>
  </si>
  <si>
    <t>5.671427747</t>
  </si>
  <si>
    <t>Egypt</t>
  </si>
  <si>
    <t>92442.54688</t>
  </si>
  <si>
    <t>42.78499985</t>
  </si>
  <si>
    <t>99.10671754</t>
  </si>
  <si>
    <t>0.2863725401</t>
  </si>
  <si>
    <t>0.5934398293</t>
  </si>
  <si>
    <t>0.01347009398</t>
  </si>
  <si>
    <t>98.80187792</t>
  </si>
  <si>
    <t>0.4103462964</t>
  </si>
  <si>
    <t>0.7642328381</t>
  </si>
  <si>
    <t>0.02354294118</t>
  </si>
  <si>
    <t>99.51436973</t>
  </si>
  <si>
    <t>0.1205864308</t>
  </si>
  <si>
    <t>0.3650438422</t>
  </si>
  <si>
    <t>102334.4063</t>
  </si>
  <si>
    <t>42.78300095</t>
  </si>
  <si>
    <t>99.44017596</t>
  </si>
  <si>
    <t>0.2376091086</t>
  </si>
  <si>
    <t>0.3222149265</t>
  </si>
  <si>
    <t>99.33283515</t>
  </si>
  <si>
    <t>0.3359418224</t>
  </si>
  <si>
    <t>0.3312230319</t>
  </si>
  <si>
    <t>99.5837311</t>
  </si>
  <si>
    <t>0.1061012067</t>
  </si>
  <si>
    <t>0.3101676943</t>
  </si>
  <si>
    <t>El Salvador</t>
  </si>
  <si>
    <t>6325.121094</t>
  </si>
  <si>
    <t>69.69999695</t>
  </si>
  <si>
    <t>95.56213774</t>
  </si>
  <si>
    <t>0.580479777</t>
  </si>
  <si>
    <t>1.161950545</t>
  </si>
  <si>
    <t>2.695431942</t>
  </si>
  <si>
    <t>87.96121432</t>
  </si>
  <si>
    <t>1.734743718</t>
  </si>
  <si>
    <t>2.481033956</t>
  </si>
  <si>
    <t>7.823008005</t>
  </si>
  <si>
    <t>98.86641785</t>
  </si>
  <si>
    <t>0.07869797757</t>
  </si>
  <si>
    <t>0.5885128896</t>
  </si>
  <si>
    <t>0.4663712861</t>
  </si>
  <si>
    <t>6486.201172</t>
  </si>
  <si>
    <t>73.44400024</t>
  </si>
  <si>
    <t>97.94657541</t>
  </si>
  <si>
    <t>0.2072632319</t>
  </si>
  <si>
    <t>0.3151739969</t>
  </si>
  <si>
    <t>1.530987366</t>
  </si>
  <si>
    <t>93.45439508</t>
  </si>
  <si>
    <t>0.7804762049</t>
  </si>
  <si>
    <t>5.765128712</t>
  </si>
  <si>
    <t>99.57087001</t>
  </si>
  <si>
    <t>0.4291299944</t>
  </si>
  <si>
    <t>Equatorial Guinea</t>
  </si>
  <si>
    <t>1168.574951</t>
  </si>
  <si>
    <t>70.61600494</t>
  </si>
  <si>
    <t>64.17860165</t>
  </si>
  <si>
    <t>2.934933836</t>
  </si>
  <si>
    <t>26.32879888</t>
  </si>
  <si>
    <t>6.557665631</t>
  </si>
  <si>
    <t>30.77536932</t>
  </si>
  <si>
    <t>1.353579774</t>
  </si>
  <si>
    <t>46.28605636</t>
  </si>
  <si>
    <t>21.58499455</t>
  </si>
  <si>
    <t>78.07800598</t>
  </si>
  <si>
    <t>3.592950383</t>
  </si>
  <si>
    <t>18.02439455</t>
  </si>
  <si>
    <t>0.3046490909</t>
  </si>
  <si>
    <t>1262.008057</t>
  </si>
  <si>
    <t>71.64599609</t>
  </si>
  <si>
    <t>64.66581606</t>
  </si>
  <si>
    <t>2.957999225</t>
  </si>
  <si>
    <t>26.03770633</t>
  </si>
  <si>
    <t>6.338478386</t>
  </si>
  <si>
    <t>Eritrea</t>
  </si>
  <si>
    <t>3342.818115</t>
  </si>
  <si>
    <t>38.20600128</t>
  </si>
  <si>
    <t>51.46509353</t>
  </si>
  <si>
    <t>17.70763334</t>
  </si>
  <si>
    <t>13.55609825</t>
  </si>
  <si>
    <t>17.27117488</t>
  </si>
  <si>
    <t>27.80157647</t>
  </si>
  <si>
    <t>24.49842353</t>
  </si>
  <si>
    <t>20.075</t>
  </si>
  <si>
    <t>27.625</t>
  </si>
  <si>
    <t>89.73822453</t>
  </si>
  <si>
    <t>6.724275474</t>
  </si>
  <si>
    <t>3.0125</t>
  </si>
  <si>
    <t>0.525</t>
  </si>
  <si>
    <t>3376.558105</t>
  </si>
  <si>
    <t>38.82699966</t>
  </si>
  <si>
    <t>51.84972018</t>
  </si>
  <si>
    <t>17.59725585</t>
  </si>
  <si>
    <t>13.45014014</t>
  </si>
  <si>
    <t>17.10288384</t>
  </si>
  <si>
    <t>Estonia</t>
  </si>
  <si>
    <t>1315.329956</t>
  </si>
  <si>
    <t>68.41600037</t>
  </si>
  <si>
    <t>99.75130757</t>
  </si>
  <si>
    <t>0.2486924289</t>
  </si>
  <si>
    <t>99.24411581</t>
  </si>
  <si>
    <t>0.7558841903</t>
  </si>
  <si>
    <t>99.98545421</t>
  </si>
  <si>
    <t>0.01454579307</t>
  </si>
  <si>
    <t>1326.53894</t>
  </si>
  <si>
    <t>69.22900391</t>
  </si>
  <si>
    <t>99.59078178</t>
  </si>
  <si>
    <t>0.4092182232</t>
  </si>
  <si>
    <t>Eswatini</t>
  </si>
  <si>
    <t>1104.037964</t>
  </si>
  <si>
    <t>23.29999924</t>
  </si>
  <si>
    <t>66.70395522</t>
  </si>
  <si>
    <t>8.767617333</t>
  </si>
  <si>
    <t>10.89011026</t>
  </si>
  <si>
    <t>13.63831719</t>
  </si>
  <si>
    <t>58.1249849</t>
  </si>
  <si>
    <t>11.1820493</t>
  </si>
  <si>
    <t>13.43987898</t>
  </si>
  <si>
    <t>17.25308683</t>
  </si>
  <si>
    <t>94.94460013</t>
  </si>
  <si>
    <t>0.8196803222</t>
  </si>
  <si>
    <t>2.496665561</t>
  </si>
  <si>
    <t>1.73905399</t>
  </si>
  <si>
    <t>1160.16394</t>
  </si>
  <si>
    <t>24.17100143</t>
  </si>
  <si>
    <t>70.75307095</t>
  </si>
  <si>
    <t>9.507067163</t>
  </si>
  <si>
    <t>9.835567931</t>
  </si>
  <si>
    <t>9.904293959</t>
  </si>
  <si>
    <t>62.46644874</t>
  </si>
  <si>
    <t>12.29969513</t>
  </si>
  <si>
    <t>12.45046093</t>
  </si>
  <si>
    <t>12.78339519</t>
  </si>
  <si>
    <t>96.74976305</t>
  </si>
  <si>
    <t>0.7460644731</t>
  </si>
  <si>
    <t>1.632164244</t>
  </si>
  <si>
    <t>0.8720082294</t>
  </si>
  <si>
    <t>Ethiopia</t>
  </si>
  <si>
    <t>100835.4531</t>
  </si>
  <si>
    <t>19.4280014</t>
  </si>
  <si>
    <t>42.0700672</t>
  </si>
  <si>
    <t>21.73879027</t>
  </si>
  <si>
    <t>24.47785615</t>
  </si>
  <si>
    <t>11.71328639</t>
  </si>
  <si>
    <t>32.45176743</t>
  </si>
  <si>
    <t>23.5985521</t>
  </si>
  <si>
    <t>29.78155581</t>
  </si>
  <si>
    <t>14.16812467</t>
  </si>
  <si>
    <t>81.95917654</t>
  </si>
  <si>
    <t>14.02596733</t>
  </si>
  <si>
    <t>2.482299691</t>
  </si>
  <si>
    <t>1.532556439</t>
  </si>
  <si>
    <t>114963.5859</t>
  </si>
  <si>
    <t>21.69499969</t>
  </si>
  <si>
    <t>49.61557274</t>
  </si>
  <si>
    <t>26.74071964</t>
  </si>
  <si>
    <t>18.63506013</t>
  </si>
  <si>
    <t>5.008647486</t>
  </si>
  <si>
    <t>40.03013919</t>
  </si>
  <si>
    <t>30.18668334</t>
  </si>
  <si>
    <t>23.49561327</t>
  </si>
  <si>
    <t>6.287564203</t>
  </si>
  <si>
    <t>84.21282816</t>
  </si>
  <si>
    <t>14.30300858</t>
  </si>
  <si>
    <t>1.091582355</t>
  </si>
  <si>
    <t>0.392580896</t>
  </si>
  <si>
    <t>Faeroe Islands</t>
  </si>
  <si>
    <t>48.05500031</t>
  </si>
  <si>
    <t>41.63799667</t>
  </si>
  <si>
    <t>48.86500168</t>
  </si>
  <si>
    <t>42.39799881</t>
  </si>
  <si>
    <t>Falkland Islands (Malvinas)</t>
  </si>
  <si>
    <t>2.835999966</t>
  </si>
  <si>
    <t>76.26800537</t>
  </si>
  <si>
    <t>94.82000666</t>
  </si>
  <si>
    <t>5.179993343</t>
  </si>
  <si>
    <t>78.17294282</t>
  </si>
  <si>
    <t>21.82705718</t>
  </si>
  <si>
    <t>3.48300004</t>
  </si>
  <si>
    <t>78.50799561</t>
  </si>
  <si>
    <t>95.3089274</t>
  </si>
  <si>
    <t>4.691072596</t>
  </si>
  <si>
    <t>Fiji</t>
  </si>
  <si>
    <t>868.632019</t>
  </si>
  <si>
    <t>54.72599792</t>
  </si>
  <si>
    <t>94.26255867</t>
  </si>
  <si>
    <t>3.419365936</t>
  </si>
  <si>
    <t>2.318075395</t>
  </si>
  <si>
    <t>89.37852739</t>
  </si>
  <si>
    <t>5.829467811</t>
  </si>
  <si>
    <t>4.792004795</t>
  </si>
  <si>
    <t>98.30304467</t>
  </si>
  <si>
    <t>1.425524712</t>
  </si>
  <si>
    <t>0.2714306142</t>
  </si>
  <si>
    <t>896.4439697</t>
  </si>
  <si>
    <t>57.24700546</t>
  </si>
  <si>
    <t>94.30106524</t>
  </si>
  <si>
    <t>3.318602766</t>
  </si>
  <si>
    <t>2.380331999</t>
  </si>
  <si>
    <t>89.08802405</t>
  </si>
  <si>
    <t>5.759897938</t>
  </si>
  <si>
    <t>5.152078012</t>
  </si>
  <si>
    <t>98.19424406</t>
  </si>
  <si>
    <t>1.495409344</t>
  </si>
  <si>
    <t>0.3103465922</t>
  </si>
  <si>
    <t>Finland</t>
  </si>
  <si>
    <t>5481.12793</t>
  </si>
  <si>
    <t>85.22499847</t>
  </si>
  <si>
    <t>99.99999666</t>
  </si>
  <si>
    <t>0.00000334065308</t>
  </si>
  <si>
    <t>5540.717773</t>
  </si>
  <si>
    <t>85.51700592</t>
  </si>
  <si>
    <t>100.0000033</t>
  </si>
  <si>
    <t>France</t>
  </si>
  <si>
    <t>64453.19531</t>
  </si>
  <si>
    <t>79.65499878</t>
  </si>
  <si>
    <t>65273.51172</t>
  </si>
  <si>
    <t>80.97499847</t>
  </si>
  <si>
    <t>99.9999985</t>
  </si>
  <si>
    <t>0.00000149610841</t>
  </si>
  <si>
    <t>French Guiana</t>
  </si>
  <si>
    <t>261.0079956</t>
  </si>
  <si>
    <t>84.48200226</t>
  </si>
  <si>
    <t>93.56205657</t>
  </si>
  <si>
    <t>6.437943425</t>
  </si>
  <si>
    <t>298.6820068</t>
  </si>
  <si>
    <t>85.81999969</t>
  </si>
  <si>
    <t>93.78221635</t>
  </si>
  <si>
    <t>6.217783652</t>
  </si>
  <si>
    <t>French Polynesia</t>
  </si>
  <si>
    <t>273.118988</t>
  </si>
  <si>
    <t>61.68300247</t>
  </si>
  <si>
    <t>280.9039917</t>
  </si>
  <si>
    <t>61.97500229</t>
  </si>
  <si>
    <t>Gabon</t>
  </si>
  <si>
    <t>1947.689941</t>
  </si>
  <si>
    <t>88.11799622</t>
  </si>
  <si>
    <t>83.85848655</t>
  </si>
  <si>
    <t>7.722430434</t>
  </si>
  <si>
    <t>4.92418211</t>
  </si>
  <si>
    <t>3.494900901</t>
  </si>
  <si>
    <t>43.39003316</t>
  </si>
  <si>
    <t>10.19264777</t>
  </si>
  <si>
    <t>21.81093263</t>
  </si>
  <si>
    <t>24.60638644</t>
  </si>
  <si>
    <t>89.31533187</t>
  </si>
  <si>
    <t>7.389341617</t>
  </si>
  <si>
    <t>2.647139145</t>
  </si>
  <si>
    <t>0.6481873668</t>
  </si>
  <si>
    <t>2225.728027</t>
  </si>
  <si>
    <t>90.09200287</t>
  </si>
  <si>
    <t>85.3419306</t>
  </si>
  <si>
    <t>7.735263103</t>
  </si>
  <si>
    <t>6.922808357</t>
  </si>
  <si>
    <t>44.74588901</t>
  </si>
  <si>
    <t>10.51114859</t>
  </si>
  <si>
    <t>44.7429624</t>
  </si>
  <si>
    <t>89.80653917</t>
  </si>
  <si>
    <t>7.42998076</t>
  </si>
  <si>
    <t>2.763480072</t>
  </si>
  <si>
    <t>Gambia</t>
  </si>
  <si>
    <t>2085.860107</t>
  </si>
  <si>
    <t>59.22800064</t>
  </si>
  <si>
    <t>79.2101665</t>
  </si>
  <si>
    <t>9.073370006</t>
  </si>
  <si>
    <t>11.62401462</t>
  </si>
  <si>
    <t>0.09244887038</t>
  </si>
  <si>
    <t>68.25489257</t>
  </si>
  <si>
    <t>15.34008454</t>
  </si>
  <si>
    <t>16.32238996</t>
  </si>
  <si>
    <t>0.08263292471</t>
  </si>
  <si>
    <t>86.75167126</t>
  </si>
  <si>
    <t>4.759421567</t>
  </si>
  <si>
    <t>8.389701102</t>
  </si>
  <si>
    <t>0.0992060715</t>
  </si>
  <si>
    <t>2416.664063</t>
  </si>
  <si>
    <t>62.58199692</t>
  </si>
  <si>
    <t>80.94040714</t>
  </si>
  <si>
    <t>8.597391391</t>
  </si>
  <si>
    <t>10.35285207</t>
  </si>
  <si>
    <t>0.1093493927</t>
  </si>
  <si>
    <t>69.18852321</t>
  </si>
  <si>
    <t>16.49783239</t>
  </si>
  <si>
    <t>14.24376547</t>
  </si>
  <si>
    <t>0.0698789368</t>
  </si>
  <si>
    <t>87.96690427</t>
  </si>
  <si>
    <t>3.873689522</t>
  </si>
  <si>
    <t>8.026457278</t>
  </si>
  <si>
    <t>0.1329489253</t>
  </si>
  <si>
    <t>Georgia</t>
  </si>
  <si>
    <t>4024.179932</t>
  </si>
  <si>
    <t>57.44799805</t>
  </si>
  <si>
    <t>95.75472951</t>
  </si>
  <si>
    <t>0.9519645583</t>
  </si>
  <si>
    <t>3.239894931</t>
  </si>
  <si>
    <t>0.0534109954</t>
  </si>
  <si>
    <t>91.29515059</t>
  </si>
  <si>
    <t>1.893756292</t>
  </si>
  <si>
    <t>6.700216388</t>
  </si>
  <si>
    <t>0.1108767321</t>
  </si>
  <si>
    <t>99.05796545</t>
  </si>
  <si>
    <t>0.2543750856</t>
  </si>
  <si>
    <t>0.6768136054</t>
  </si>
  <si>
    <t>0.01084585945</t>
  </si>
  <si>
    <t>3989.175049</t>
  </si>
  <si>
    <t>59.4529953</t>
  </si>
  <si>
    <t>97.3481397</t>
  </si>
  <si>
    <t>2.632761379</t>
  </si>
  <si>
    <t>0.01909892327</t>
  </si>
  <si>
    <t>94.2718842</t>
  </si>
  <si>
    <t>5.703923618</t>
  </si>
  <si>
    <t>0.02419218345</t>
  </si>
  <si>
    <t>99.44615394</t>
  </si>
  <si>
    <t>0.538220742</t>
  </si>
  <si>
    <t>0.01562531586</t>
  </si>
  <si>
    <t>Germany</t>
  </si>
  <si>
    <t>81787.41406</t>
  </si>
  <si>
    <t>77.20000458</t>
  </si>
  <si>
    <t>100.0000024</t>
  </si>
  <si>
    <t>83783.94531</t>
  </si>
  <si>
    <t>77.45300293</t>
  </si>
  <si>
    <t>100.0000023</t>
  </si>
  <si>
    <t>Ghana</t>
  </si>
  <si>
    <t>27849.20313</t>
  </si>
  <si>
    <t>54.08599854</t>
  </si>
  <si>
    <t>80.15796123</t>
  </si>
  <si>
    <t>7.89759919</t>
  </si>
  <si>
    <t>4.426643676</t>
  </si>
  <si>
    <t>7.517795899</t>
  </si>
  <si>
    <t>67.20830477</t>
  </si>
  <si>
    <t>11.1534648</t>
  </si>
  <si>
    <t>6.335259242</t>
  </si>
  <si>
    <t>15.30297119</t>
  </si>
  <si>
    <t>91.15101984</t>
  </si>
  <si>
    <t>5.133670929</t>
  </si>
  <si>
    <t>2.806405888</t>
  </si>
  <si>
    <t>0.9089033445</t>
  </si>
  <si>
    <t>31072.94531</t>
  </si>
  <si>
    <t>57.34899902</t>
  </si>
  <si>
    <t>85.79099665</t>
  </si>
  <si>
    <t>6.586062113</t>
  </si>
  <si>
    <t>2.812216176</t>
  </si>
  <si>
    <t>4.810725058</t>
  </si>
  <si>
    <t>71.89275005</t>
  </si>
  <si>
    <t>11.93454827</t>
  </si>
  <si>
    <t>4.999356483</t>
  </si>
  <si>
    <t>11.17334519</t>
  </si>
  <si>
    <t>96.12725952</t>
  </si>
  <si>
    <t>2.608342455</t>
  </si>
  <si>
    <t>1.185613803</t>
  </si>
  <si>
    <t>0.07878421819</t>
  </si>
  <si>
    <t>Gibraltar</t>
  </si>
  <si>
    <t>33.74200058</t>
  </si>
  <si>
    <t>33.69100189</t>
  </si>
  <si>
    <t>Greece</t>
  </si>
  <si>
    <t>10659.7373</t>
  </si>
  <si>
    <t>78.04600525</t>
  </si>
  <si>
    <t>100.0000046</t>
  </si>
  <si>
    <t>10423.05566</t>
  </si>
  <si>
    <t>79.71500397</t>
  </si>
  <si>
    <t>Greenland</t>
  </si>
  <si>
    <t>56.37799835</t>
  </si>
  <si>
    <t>86.07099915</t>
  </si>
  <si>
    <t>56.77199936</t>
  </si>
  <si>
    <t>87.28200531</t>
  </si>
  <si>
    <t>100.0000017</t>
  </si>
  <si>
    <t>Grenada</t>
  </si>
  <si>
    <t>109.6029968</t>
  </si>
  <si>
    <t>35.99700165</t>
  </si>
  <si>
    <t>95.62865044</t>
  </si>
  <si>
    <t>1.161481584</t>
  </si>
  <si>
    <t>3.209867972</t>
  </si>
  <si>
    <t>110.8740005</t>
  </si>
  <si>
    <t>36.16400146</t>
  </si>
  <si>
    <t>Guadeloupe</t>
  </si>
  <si>
    <t>400.2600098</t>
  </si>
  <si>
    <t>98.44300079</t>
  </si>
  <si>
    <t>99.61102813</t>
  </si>
  <si>
    <t>0.3889718724</t>
  </si>
  <si>
    <t>400.1270142</t>
  </si>
  <si>
    <t>98.49899292</t>
  </si>
  <si>
    <t>99.80312604</t>
  </si>
  <si>
    <t>0.1968739613</t>
  </si>
  <si>
    <t>Guam</t>
  </si>
  <si>
    <t>161.8509979</t>
  </si>
  <si>
    <t>94.53399658</t>
  </si>
  <si>
    <t>99.6952</t>
  </si>
  <si>
    <t>0.3048</t>
  </si>
  <si>
    <t>168.7830048</t>
  </si>
  <si>
    <t>94.93800354</t>
  </si>
  <si>
    <t>Guatemala</t>
  </si>
  <si>
    <t>16252.4248</t>
  </si>
  <si>
    <t>49.97100067</t>
  </si>
  <si>
    <t>92.13403385</t>
  </si>
  <si>
    <t>0.9684517485</t>
  </si>
  <si>
    <t>4.765261087</t>
  </si>
  <si>
    <t>2.132253313</t>
  </si>
  <si>
    <t>87.24275618</t>
  </si>
  <si>
    <t>1.650901287</t>
  </si>
  <si>
    <t>7.052091828</t>
  </si>
  <si>
    <t>4.054250709</t>
  </si>
  <si>
    <t>97.03098891</t>
  </si>
  <si>
    <t>0.2852100796</t>
  </si>
  <si>
    <t>2.475775984</t>
  </si>
  <si>
    <t>0.2080250227</t>
  </si>
  <si>
    <t>17915.56641</t>
  </si>
  <si>
    <t>51.83599854</t>
  </si>
  <si>
    <t>94.00642827</t>
  </si>
  <si>
    <t>1.034150511</t>
  </si>
  <si>
    <t>3.215911815</t>
  </si>
  <si>
    <t>1.743509404</t>
  </si>
  <si>
    <t>90.1193298</t>
  </si>
  <si>
    <t>1.849169999</t>
  </si>
  <si>
    <t>4.583438691</t>
  </si>
  <si>
    <t>3.448061508</t>
  </si>
  <si>
    <t>97.61816944</t>
  </si>
  <si>
    <t>0.2768660057</t>
  </si>
  <si>
    <t>1.94525887</t>
  </si>
  <si>
    <t>0.1597056849</t>
  </si>
  <si>
    <t>Guinea</t>
  </si>
  <si>
    <t>11432.0957</t>
  </si>
  <si>
    <t>35.14099884</t>
  </si>
  <si>
    <t>63.61538954</t>
  </si>
  <si>
    <t>16.09025603</t>
  </si>
  <si>
    <t>9.757980444</t>
  </si>
  <si>
    <t>10.53637399</t>
  </si>
  <si>
    <t>51.94915534</t>
  </si>
  <si>
    <t>18.76062978</t>
  </si>
  <si>
    <t>13.30971721</t>
  </si>
  <si>
    <t>15.98049768</t>
  </si>
  <si>
    <t>85.14750769</t>
  </si>
  <si>
    <t>11.16160263</t>
  </si>
  <si>
    <t>3.202620418</t>
  </si>
  <si>
    <t>0.4882692651</t>
  </si>
  <si>
    <t>13132.79199</t>
  </si>
  <si>
    <t>36.875</t>
  </si>
  <si>
    <t>63.96178874</t>
  </si>
  <si>
    <t>21.2815915</t>
  </si>
  <si>
    <t>6.296119406</t>
  </si>
  <si>
    <t>8.460500354</t>
  </si>
  <si>
    <t>50.74817899</t>
  </si>
  <si>
    <t>26.14432944</t>
  </si>
  <si>
    <t>9.704719143</t>
  </si>
  <si>
    <t>13.40277243</t>
  </si>
  <si>
    <t>86.58169007</t>
  </si>
  <si>
    <t>12.95724153</t>
  </si>
  <si>
    <t>0.461068398</t>
  </si>
  <si>
    <t>Guinea-Bissau</t>
  </si>
  <si>
    <t>1737.207031</t>
  </si>
  <si>
    <t>42.12299728</t>
  </si>
  <si>
    <t>58.76434762</t>
  </si>
  <si>
    <t>10.59149221</t>
  </si>
  <si>
    <t>29.74437907</t>
  </si>
  <si>
    <t>0.8997810926</t>
  </si>
  <si>
    <t>48.42273005</t>
  </si>
  <si>
    <t>7.566280361</t>
  </si>
  <si>
    <t>42.58264827</t>
  </si>
  <si>
    <t>1.428341318</t>
  </si>
  <si>
    <t>72.97373122</t>
  </si>
  <si>
    <t>14.7481336</t>
  </si>
  <si>
    <t>12.10459589</t>
  </si>
  <si>
    <t>0.173539289</t>
  </si>
  <si>
    <t>1967.998047</t>
  </si>
  <si>
    <t>44.19599915</t>
  </si>
  <si>
    <t>59.01691221</t>
  </si>
  <si>
    <t>14.03457137</t>
  </si>
  <si>
    <t>26.6263769</t>
  </si>
  <si>
    <t>0.3221395192</t>
  </si>
  <si>
    <t>49.8319053</t>
  </si>
  <si>
    <t>9.285773026</t>
  </si>
  <si>
    <t>40.31645129</t>
  </si>
  <si>
    <t>0.5658703845</t>
  </si>
  <si>
    <t>70.61434791</t>
  </si>
  <si>
    <t>20.03063358</t>
  </si>
  <si>
    <t>9.340625284</t>
  </si>
  <si>
    <t>0.01439322693</t>
  </si>
  <si>
    <t>Guyana</t>
  </si>
  <si>
    <t>767.4329834</t>
  </si>
  <si>
    <t>26.44099808</t>
  </si>
  <si>
    <t>95.16185695</t>
  </si>
  <si>
    <t>1.233247953</t>
  </si>
  <si>
    <t>1.344803287</t>
  </si>
  <si>
    <t>2.260091808</t>
  </si>
  <si>
    <t>93.42276971</t>
  </si>
  <si>
    <t>1.676542504</t>
  </si>
  <si>
    <t>1.82819943</t>
  </si>
  <si>
    <t>3.072488358</t>
  </si>
  <si>
    <t>786.559021</t>
  </si>
  <si>
    <t>26.7859993</t>
  </si>
  <si>
    <t>95.55480685</t>
  </si>
  <si>
    <t>1.205244408</t>
  </si>
  <si>
    <t>1.143069849</t>
  </si>
  <si>
    <t>2.096878897</t>
  </si>
  <si>
    <t>93.9284905</t>
  </si>
  <si>
    <t>1.646193862</t>
  </si>
  <si>
    <t>1.561274833</t>
  </si>
  <si>
    <t>2.864040809</t>
  </si>
  <si>
    <t>Haiti</t>
  </si>
  <si>
    <t>10695.54004</t>
  </si>
  <si>
    <t>52.42699814</t>
  </si>
  <si>
    <t>64.56748594</t>
  </si>
  <si>
    <t>9.21848701</t>
  </si>
  <si>
    <t>25.47783945</t>
  </si>
  <si>
    <t>0.7361875961</t>
  </si>
  <si>
    <t>42.41641805</t>
  </si>
  <si>
    <t>12.22889789</t>
  </si>
  <si>
    <t>43.80719375</t>
  </si>
  <si>
    <t>1.547490317</t>
  </si>
  <si>
    <t>84.66767913</t>
  </si>
  <si>
    <t>6.486797483</t>
  </si>
  <si>
    <t>8.845523388</t>
  </si>
  <si>
    <t>11402.5332</t>
  </si>
  <si>
    <t>57.08799744</t>
  </si>
  <si>
    <t>66.6953084</t>
  </si>
  <si>
    <t>9.814543652</t>
  </si>
  <si>
    <t>23.49014795</t>
  </si>
  <si>
    <t>42.8457001</t>
  </si>
  <si>
    <t>13.25598695</t>
  </si>
  <si>
    <t>43.89831295</t>
  </si>
  <si>
    <t>84.62262129</t>
  </si>
  <si>
    <t>7.227673879</t>
  </si>
  <si>
    <t>8.149704835</t>
  </si>
  <si>
    <t>Honduras</t>
  </si>
  <si>
    <t>9112.904297</t>
  </si>
  <si>
    <t>55.1649971</t>
  </si>
  <si>
    <t>93.25441071</t>
  </si>
  <si>
    <t>0.4317541067</t>
  </si>
  <si>
    <t>6.022156156</t>
  </si>
  <si>
    <t>0.2916790284</t>
  </si>
  <si>
    <t>86.43707375</t>
  </si>
  <si>
    <t>0.7758441046</t>
  </si>
  <si>
    <t>12.14597638</t>
  </si>
  <si>
    <t>0.6411057671</t>
  </si>
  <si>
    <t>98.79516268</t>
  </si>
  <si>
    <t>0.152097161</t>
  </si>
  <si>
    <t>1.04505549</t>
  </si>
  <si>
    <t>0.00768467364</t>
  </si>
  <si>
    <t>9904.608398</t>
  </si>
  <si>
    <t>58.35899734</t>
  </si>
  <si>
    <t>95.68922113</t>
  </si>
  <si>
    <t>0.4256206085</t>
  </si>
  <si>
    <t>3.885158264</t>
  </si>
  <si>
    <t>89.87579955</t>
  </si>
  <si>
    <t>0.8067095079</t>
  </si>
  <si>
    <t>9.317490946</t>
  </si>
  <si>
    <t>99.83728281</t>
  </si>
  <si>
    <t>0.1537015262</t>
  </si>
  <si>
    <t>0.009015663296</t>
  </si>
  <si>
    <t>Hungary</t>
  </si>
  <si>
    <t>9777.924805</t>
  </si>
  <si>
    <t>70.5</t>
  </si>
  <si>
    <t>99.97052896</t>
  </si>
  <si>
    <t>0.0294710394</t>
  </si>
  <si>
    <t>99.90008972</t>
  </si>
  <si>
    <t>0.09991028479</t>
  </si>
  <si>
    <t>9660.349609</t>
  </si>
  <si>
    <t>71.94200134</t>
  </si>
  <si>
    <t>99.99999747</t>
  </si>
  <si>
    <t>0.000002527244192</t>
  </si>
  <si>
    <t>Iceland</t>
  </si>
  <si>
    <t>330.2369995</t>
  </si>
  <si>
    <t>93.69999695</t>
  </si>
  <si>
    <t>341.25</t>
  </si>
  <si>
    <t>93.897995</t>
  </si>
  <si>
    <t>99.99999721</t>
  </si>
  <si>
    <t>0.000002794650015</t>
  </si>
  <si>
    <t>India</t>
  </si>
  <si>
    <t>1310152.375</t>
  </si>
  <si>
    <t>32.77700043</t>
  </si>
  <si>
    <t>88.13813263</t>
  </si>
  <si>
    <t>4.692599015</t>
  </si>
  <si>
    <t>6.412451552</t>
  </si>
  <si>
    <t>0.7568168039</t>
  </si>
  <si>
    <t>85.57200035</t>
  </si>
  <si>
    <t>5.542133893</t>
  </si>
  <si>
    <t>7.880870004</t>
  </si>
  <si>
    <t>1.004995751</t>
  </si>
  <si>
    <t>93.40106461</t>
  </si>
  <si>
    <t>2.950270954</t>
  </si>
  <si>
    <t>3.4008428</t>
  </si>
  <si>
    <t>0.2478216409</t>
  </si>
  <si>
    <t>1380004.375</t>
  </si>
  <si>
    <t>34.9260025</t>
  </si>
  <si>
    <t>90.48952503</t>
  </si>
  <si>
    <t>4.983602562</t>
  </si>
  <si>
    <t>3.963153945</t>
  </si>
  <si>
    <t>0.5637184626</t>
  </si>
  <si>
    <t>88.78250313</t>
  </si>
  <si>
    <t>5.902210054</t>
  </si>
  <si>
    <t>4.57637573</t>
  </si>
  <si>
    <t>0.7389110856</t>
  </si>
  <si>
    <t>93.6700363</t>
  </si>
  <si>
    <t>3.272056027</t>
  </si>
  <si>
    <t>2.820607523</t>
  </si>
  <si>
    <t>0.2373001538</t>
  </si>
  <si>
    <t>Indonesia</t>
  </si>
  <si>
    <t>258383.25</t>
  </si>
  <si>
    <t>53.31299973</t>
  </si>
  <si>
    <t>88.52735296</t>
  </si>
  <si>
    <t>0.7941305226</t>
  </si>
  <si>
    <t>8.943859564</t>
  </si>
  <si>
    <t>1.734656954</t>
  </si>
  <si>
    <t>80.63079119</t>
  </si>
  <si>
    <t>0.9740457315</t>
  </si>
  <si>
    <t>14.98518808</t>
  </si>
  <si>
    <t>3.409975001</t>
  </si>
  <si>
    <t>95.44249176</t>
  </si>
  <si>
    <t>0.6365760478</t>
  </si>
  <si>
    <t>3.653376641</t>
  </si>
  <si>
    <t>0.2675555532</t>
  </si>
  <si>
    <t>273523.625</t>
  </si>
  <si>
    <t>56.64099884</t>
  </si>
  <si>
    <t>92.41534961</t>
  </si>
  <si>
    <t>0.8554746335</t>
  </si>
  <si>
    <t>5.553871666</t>
  </si>
  <si>
    <t>1.175304087</t>
  </si>
  <si>
    <t>85.66796238</t>
  </si>
  <si>
    <t>1.17809123</t>
  </si>
  <si>
    <t>10.61491462</t>
  </si>
  <si>
    <t>2.539031772</t>
  </si>
  <si>
    <t>97.58051207</t>
  </si>
  <si>
    <t>0.6085098345</t>
  </si>
  <si>
    <t>1.679615139</t>
  </si>
  <si>
    <t>0.1313629588</t>
  </si>
  <si>
    <t>Iran (Islamic Republic of)</t>
  </si>
  <si>
    <t>78492.21094</t>
  </si>
  <si>
    <t>73.35800171</t>
  </si>
  <si>
    <t>96.80698708</t>
  </si>
  <si>
    <t>1.994891573</t>
  </si>
  <si>
    <t>1.126061081</t>
  </si>
  <si>
    <t>0.07206026561</t>
  </si>
  <si>
    <t>92.16250265</t>
  </si>
  <si>
    <t>4.221624781</t>
  </si>
  <si>
    <t>3.345396383</t>
  </si>
  <si>
    <t>0.2704761905</t>
  </si>
  <si>
    <t>98.49376087</t>
  </si>
  <si>
    <t>1.186191432</t>
  </si>
  <si>
    <t>0.3200476961</t>
  </si>
  <si>
    <t>83992.95313</t>
  </si>
  <si>
    <t>75.87400055</t>
  </si>
  <si>
    <t>97.48263633</t>
  </si>
  <si>
    <t>1.938311229</t>
  </si>
  <si>
    <t>0.5137973631</t>
  </si>
  <si>
    <t>0.06525508185</t>
  </si>
  <si>
    <t>93.82873538</t>
  </si>
  <si>
    <t>4.297948765</t>
  </si>
  <si>
    <t>1.602839669</t>
  </si>
  <si>
    <t>98.64448672</t>
  </si>
  <si>
    <t>1.188006671</t>
  </si>
  <si>
    <t>0.1675066077</t>
  </si>
  <si>
    <t>Iraq</t>
  </si>
  <si>
    <t>35572.26953</t>
  </si>
  <si>
    <t>69.92099762</t>
  </si>
  <si>
    <t>94.2475933</t>
  </si>
  <si>
    <t>1.056676215</t>
  </si>
  <si>
    <t>1.737911036</t>
  </si>
  <si>
    <t>2.95781945</t>
  </si>
  <si>
    <t>84.76271011</t>
  </si>
  <si>
    <t>2.830616935</t>
  </si>
  <si>
    <t>2.77640479</t>
  </si>
  <si>
    <t>9.630268161</t>
  </si>
  <si>
    <t>98.3278526</t>
  </si>
  <si>
    <t>0.2935526231</t>
  </si>
  <si>
    <t>1.291166071</t>
  </si>
  <si>
    <t>0.0874287017</t>
  </si>
  <si>
    <t>40222.50391</t>
  </si>
  <si>
    <t>70.89299774</t>
  </si>
  <si>
    <t>98.35990325</t>
  </si>
  <si>
    <t>0.8921603495</t>
  </si>
  <si>
    <t>0.000002427900808</t>
  </si>
  <si>
    <t>0.7479339713</t>
  </si>
  <si>
    <t>94.83114678</t>
  </si>
  <si>
    <t>2.599251339</t>
  </si>
  <si>
    <t>2.569601877</t>
  </si>
  <si>
    <t>99.80873103</t>
  </si>
  <si>
    <t>0.19126897</t>
  </si>
  <si>
    <t>Ireland</t>
  </si>
  <si>
    <t>4652.419922</t>
  </si>
  <si>
    <t>62.5379982</t>
  </si>
  <si>
    <t>97.37212799</t>
  </si>
  <si>
    <t>2.627872008</t>
  </si>
  <si>
    <t>98.01681619</t>
  </si>
  <si>
    <t>1.983183812</t>
  </si>
  <si>
    <t>96.98594181</t>
  </si>
  <si>
    <t>3.014058189</t>
  </si>
  <si>
    <t>4937.795898</t>
  </si>
  <si>
    <t>63.65299988</t>
  </si>
  <si>
    <t>97.39970651</t>
  </si>
  <si>
    <t>2.600293485</t>
  </si>
  <si>
    <t>98.13492075</t>
  </si>
  <si>
    <t>1.865079247</t>
  </si>
  <si>
    <t>96.97988603</t>
  </si>
  <si>
    <t>3.020113966</t>
  </si>
  <si>
    <t>Isle of Man</t>
  </si>
  <si>
    <t>83.23200226</t>
  </si>
  <si>
    <t>52.24499893</t>
  </si>
  <si>
    <t>99.075</t>
  </si>
  <si>
    <t>0.925</t>
  </si>
  <si>
    <t>85.03199768</t>
  </si>
  <si>
    <t>52.89800262</t>
  </si>
  <si>
    <t>Israel</t>
  </si>
  <si>
    <t>7978.496094</t>
  </si>
  <si>
    <t>92.17900085</t>
  </si>
  <si>
    <t>100.0000015</t>
  </si>
  <si>
    <t>8655.541016</t>
  </si>
  <si>
    <t>92.58699799</t>
  </si>
  <si>
    <t>Italy</t>
  </si>
  <si>
    <t>60578.48828</t>
  </si>
  <si>
    <t>69.56500244</t>
  </si>
  <si>
    <t>99.91703407</t>
  </si>
  <si>
    <t>0.08296592591</t>
  </si>
  <si>
    <t>60461.82813</t>
  </si>
  <si>
    <t>71.03899384</t>
  </si>
  <si>
    <t>Jamaica</t>
  </si>
  <si>
    <t>2891.023926</t>
  </si>
  <si>
    <t>54.833004</t>
  </si>
  <si>
    <t>90.41679629</t>
  </si>
  <si>
    <t>5.407336603</t>
  </si>
  <si>
    <t>2.169821217</t>
  </si>
  <si>
    <t>2.006045893</t>
  </si>
  <si>
    <t>84.5007099</t>
  </si>
  <si>
    <t>8.401335753</t>
  </si>
  <si>
    <t>3.055395678</t>
  </si>
  <si>
    <t>4.042558671</t>
  </si>
  <si>
    <t>95.28999024</t>
  </si>
  <si>
    <t>2.941122015</t>
  </si>
  <si>
    <t>1.440356529</t>
  </si>
  <si>
    <t>0.3285312153</t>
  </si>
  <si>
    <t>2961.160889</t>
  </si>
  <si>
    <t>56.31100082</t>
  </si>
  <si>
    <t>91.0299445</t>
  </si>
  <si>
    <t>5.367570914</t>
  </si>
  <si>
    <t>1.864010203</t>
  </si>
  <si>
    <t>1.738474379</t>
  </si>
  <si>
    <t>85.39991216</t>
  </si>
  <si>
    <t>8.490737371</t>
  </si>
  <si>
    <t>2.568971895</t>
  </si>
  <si>
    <t>3.540378574</t>
  </si>
  <si>
    <t>95.39801591</t>
  </si>
  <si>
    <t>2.944456223</t>
  </si>
  <si>
    <t>1.317064322</t>
  </si>
  <si>
    <t>0.34046355</t>
  </si>
  <si>
    <t>Japan</t>
  </si>
  <si>
    <t>127985.1406</t>
  </si>
  <si>
    <t>91.3809967</t>
  </si>
  <si>
    <t>98.92280548</t>
  </si>
  <si>
    <t>1.077194517</t>
  </si>
  <si>
    <t>126476.4609</t>
  </si>
  <si>
    <t>91.78199768</t>
  </si>
  <si>
    <t>99.07891245</t>
  </si>
  <si>
    <t>0.9210875467</t>
  </si>
  <si>
    <t>Jordan</t>
  </si>
  <si>
    <t>9266.573242</t>
  </si>
  <si>
    <t>90.25600433</t>
  </si>
  <si>
    <t>99.00678491</t>
  </si>
  <si>
    <t>0.1524029836</t>
  </si>
  <si>
    <t>0.7812311648</t>
  </si>
  <si>
    <t>0.05958093834</t>
  </si>
  <si>
    <t>97.36231539</t>
  </si>
  <si>
    <t>0.6242725518</t>
  </si>
  <si>
    <t>1.973552059</t>
  </si>
  <si>
    <t>0.03986</t>
  </si>
  <si>
    <t>99.18431682</t>
  </si>
  <si>
    <t>0.1014601355</t>
  </si>
  <si>
    <t>0.6525130437</t>
  </si>
  <si>
    <t>0.06171</t>
  </si>
  <si>
    <t>10203.13965</t>
  </si>
  <si>
    <t>91.41799927</t>
  </si>
  <si>
    <t>98.94030296</t>
  </si>
  <si>
    <t>0.1462147369</t>
  </si>
  <si>
    <t>0.8536474704</t>
  </si>
  <si>
    <t>0.05983483179</t>
  </si>
  <si>
    <t>97.31147869</t>
  </si>
  <si>
    <t>0.6239465945</t>
  </si>
  <si>
    <t>2.024714716</t>
  </si>
  <si>
    <t>99.09321259</t>
  </si>
  <si>
    <t>0.1013669408</t>
  </si>
  <si>
    <t>0.7437104707</t>
  </si>
  <si>
    <t>Kazakhstan</t>
  </si>
  <si>
    <t>17572.00977</t>
  </si>
  <si>
    <t>57.19100189</t>
  </si>
  <si>
    <t>95.02533441</t>
  </si>
  <si>
    <t>1.812908425</t>
  </si>
  <si>
    <t>2.904392652</t>
  </si>
  <si>
    <t>0.2573645111</t>
  </si>
  <si>
    <t>90.74749784</t>
  </si>
  <si>
    <t>1.86677185</t>
  </si>
  <si>
    <t>6.784537749</t>
  </si>
  <si>
    <t>0.6011925556</t>
  </si>
  <si>
    <t>98.22740979</t>
  </si>
  <si>
    <t>1.772590206</t>
  </si>
  <si>
    <t>18776.70703</t>
  </si>
  <si>
    <t>57.67100143</t>
  </si>
  <si>
    <t>95.43497032</t>
  </si>
  <si>
    <t>1.941425039</t>
  </si>
  <si>
    <t>2.545956934</t>
  </si>
  <si>
    <t>0.07764770471</t>
  </si>
  <si>
    <t>91.93925234</t>
  </si>
  <si>
    <t>1.862616064</t>
  </si>
  <si>
    <t>6.014693049</t>
  </si>
  <si>
    <t>0.1834385438</t>
  </si>
  <si>
    <t>98.00073133</t>
  </si>
  <si>
    <t>1.999268673</t>
  </si>
  <si>
    <t>Kenya</t>
  </si>
  <si>
    <t>47878.33984</t>
  </si>
  <si>
    <t>25.65799904</t>
  </si>
  <si>
    <t>58.19692798</t>
  </si>
  <si>
    <t>8.796753977</t>
  </si>
  <si>
    <t>11.52291835</t>
  </si>
  <si>
    <t>21.48339969</t>
  </si>
  <si>
    <t>48.27216191</t>
  </si>
  <si>
    <t>10.37313934</t>
  </si>
  <si>
    <t>14.21683468</t>
  </si>
  <si>
    <t>27.13786408</t>
  </si>
  <si>
    <t>86.95314792</t>
  </si>
  <si>
    <t>4.22930427</t>
  </si>
  <si>
    <t>3.717504383</t>
  </si>
  <si>
    <t>5.100043429</t>
  </si>
  <si>
    <t>53771.30078</t>
  </si>
  <si>
    <t>27.99499893</t>
  </si>
  <si>
    <t>61.63289158</t>
  </si>
  <si>
    <t>9.54187005</t>
  </si>
  <si>
    <t>9.780087524</t>
  </si>
  <si>
    <t>19.04515084</t>
  </si>
  <si>
    <t>51.77997893</t>
  </si>
  <si>
    <t>11.56900419</t>
  </si>
  <si>
    <t>12.51911322</t>
  </si>
  <si>
    <t>24.13190366</t>
  </si>
  <si>
    <t>86.97523145</t>
  </si>
  <si>
    <t>4.327944725</t>
  </si>
  <si>
    <t>2.73514263</t>
  </si>
  <si>
    <t>5.961681193</t>
  </si>
  <si>
    <t>Kiribati</t>
  </si>
  <si>
    <t>110.927002</t>
  </si>
  <si>
    <t>51.61899948</t>
  </si>
  <si>
    <t>73.84809659</t>
  </si>
  <si>
    <t>2.340891569</t>
  </si>
  <si>
    <t>23.81101184</t>
  </si>
  <si>
    <t>57.92225259</t>
  </si>
  <si>
    <t>1.639587928</t>
  </si>
  <si>
    <t>40.43815948</t>
  </si>
  <si>
    <t>88.774932</t>
  </si>
  <si>
    <t>2.998203296</t>
  </si>
  <si>
    <t>8.226864706</t>
  </si>
  <si>
    <t>119.4459991</t>
  </si>
  <si>
    <t>55.59399796</t>
  </si>
  <si>
    <t>77.97092085</t>
  </si>
  <si>
    <t>4.076899625</t>
  </si>
  <si>
    <t>17.95217953</t>
  </si>
  <si>
    <t>60.99418489</t>
  </si>
  <si>
    <t>2.096609799</t>
  </si>
  <si>
    <t>36.90920532</t>
  </si>
  <si>
    <t>91.53117485</t>
  </si>
  <si>
    <t>5.658666461</t>
  </si>
  <si>
    <t>2.810158691</t>
  </si>
  <si>
    <t>Kuwait</t>
  </si>
  <si>
    <t>3835.587891</t>
  </si>
  <si>
    <t>4270.562988</t>
  </si>
  <si>
    <t>Kyrgyzstan</t>
  </si>
  <si>
    <t>5959.125977</t>
  </si>
  <si>
    <t>35.77700043</t>
  </si>
  <si>
    <t>88.44176125</t>
  </si>
  <si>
    <t>1.789935836</t>
  </si>
  <si>
    <t>2.248062905</t>
  </si>
  <si>
    <t>7.520240013</t>
  </si>
  <si>
    <t>83.10521764</t>
  </si>
  <si>
    <t>2.415973654</t>
  </si>
  <si>
    <t>3.353168783</t>
  </si>
  <si>
    <t>11.12563993</t>
  </si>
  <si>
    <t>98.02134645</t>
  </si>
  <si>
    <t>0.6661405372</t>
  </si>
  <si>
    <t>0.2642965036</t>
  </si>
  <si>
    <t>1.04821651</t>
  </si>
  <si>
    <t>6524.190918</t>
  </si>
  <si>
    <t>36.85599899</t>
  </si>
  <si>
    <t>91.69930522</t>
  </si>
  <si>
    <t>1.900734111</t>
  </si>
  <si>
    <t>1.8656487</t>
  </si>
  <si>
    <t>4.534311965</t>
  </si>
  <si>
    <t>87.258429</t>
  </si>
  <si>
    <t>2.606070485</t>
  </si>
  <si>
    <t>2.954593684</t>
  </si>
  <si>
    <t>7.180906832</t>
  </si>
  <si>
    <t>99.30769231</t>
  </si>
  <si>
    <t>0.6923076923</t>
  </si>
  <si>
    <t>Lao People's Democratic Republic</t>
  </si>
  <si>
    <t>6741.160156</t>
  </si>
  <si>
    <t>33.10799789</t>
  </si>
  <si>
    <t>77.46057221</t>
  </si>
  <si>
    <t>3.052340334</t>
  </si>
  <si>
    <t>14.22792235</t>
  </si>
  <si>
    <t>5.259165108</t>
  </si>
  <si>
    <t>70.23968655</t>
  </si>
  <si>
    <t>4.170293363</t>
  </si>
  <si>
    <t>18.20222139</t>
  </si>
  <si>
    <t>7.387798694</t>
  </si>
  <si>
    <t>92.04977998</t>
  </si>
  <si>
    <t>0.793607849</t>
  </si>
  <si>
    <t>6.198176795</t>
  </si>
  <si>
    <t>0.9584353711</t>
  </si>
  <si>
    <t>7275.556152</t>
  </si>
  <si>
    <t>36.29000092</t>
  </si>
  <si>
    <t>85.21974318</t>
  </si>
  <si>
    <t>3.566857739</t>
  </si>
  <si>
    <t>10.62886799</t>
  </si>
  <si>
    <t>0.5845310938</t>
  </si>
  <si>
    <t>78.47295942</t>
  </si>
  <si>
    <t>5.598583786</t>
  </si>
  <si>
    <t>15.0109696</t>
  </si>
  <si>
    <t>0.9174871957</t>
  </si>
  <si>
    <t>97.06426222</t>
  </si>
  <si>
    <t>2.935737778</t>
  </si>
  <si>
    <t>Latvia</t>
  </si>
  <si>
    <t>1997.675049</t>
  </si>
  <si>
    <t>67.97999573</t>
  </si>
  <si>
    <t>98.52511728</t>
  </si>
  <si>
    <t>0.6787074231</t>
  </si>
  <si>
    <t>0.7961752931</t>
  </si>
  <si>
    <t>97.85471901</t>
  </si>
  <si>
    <t>2.145280992</t>
  </si>
  <si>
    <t>98.84089334</t>
  </si>
  <si>
    <t>0.998392862</t>
  </si>
  <si>
    <t>0.1607138001</t>
  </si>
  <si>
    <t>1886.202026</t>
  </si>
  <si>
    <t>68.31500244</t>
  </si>
  <si>
    <t>98.78260115</t>
  </si>
  <si>
    <t>0.6823007424</t>
  </si>
  <si>
    <t>0.5350981037</t>
  </si>
  <si>
    <t>98.57922314</t>
  </si>
  <si>
    <t>1.42077686</t>
  </si>
  <si>
    <t>98.87692469</t>
  </si>
  <si>
    <t>0.9987568151</t>
  </si>
  <si>
    <t>0.1243184908</t>
  </si>
  <si>
    <t>Lebanon</t>
  </si>
  <si>
    <t>6532.681152</t>
  </si>
  <si>
    <t>88.10600281</t>
  </si>
  <si>
    <t>91.22432251</t>
  </si>
  <si>
    <t>7.29006465</t>
  </si>
  <si>
    <t>1.34019284</t>
  </si>
  <si>
    <t>0.14542</t>
  </si>
  <si>
    <t>6825.441895</t>
  </si>
  <si>
    <t>88.92499542</t>
  </si>
  <si>
    <t>92.6</t>
  </si>
  <si>
    <t>7.4</t>
  </si>
  <si>
    <t>Lesotho</t>
  </si>
  <si>
    <t>2059.010986</t>
  </si>
  <si>
    <t>26.90800095</t>
  </si>
  <si>
    <t>70.5456894</t>
  </si>
  <si>
    <t>10.86331049</t>
  </si>
  <si>
    <t>14.5343829</t>
  </si>
  <si>
    <t>4.056617208</t>
  </si>
  <si>
    <t>63.42088315</t>
  </si>
  <si>
    <t>13.04933941</t>
  </si>
  <si>
    <t>18.16490493</t>
  </si>
  <si>
    <t>5.364872511</t>
  </si>
  <si>
    <t>89.89927614</t>
  </si>
  <si>
    <t>4.925254235</t>
  </si>
  <si>
    <t>4.672553616</t>
  </si>
  <si>
    <t>0.502916007</t>
  </si>
  <si>
    <t>2142.251953</t>
  </si>
  <si>
    <t>29.02799988</t>
  </si>
  <si>
    <t>72.17603927</t>
  </si>
  <si>
    <t>10.40592597</t>
  </si>
  <si>
    <t>12.21725464</t>
  </si>
  <si>
    <t>5.200780116</t>
  </si>
  <si>
    <t>63.65035482</t>
  </si>
  <si>
    <t>13.55843013</t>
  </si>
  <si>
    <t>15.73132479</t>
  </si>
  <si>
    <t>7.059890254</t>
  </si>
  <si>
    <t>93.02090855</t>
  </si>
  <si>
    <t>2.698211997</t>
  </si>
  <si>
    <t>3.625530038</t>
  </si>
  <si>
    <t>0.65534942</t>
  </si>
  <si>
    <t>Liberia</t>
  </si>
  <si>
    <t>4472.229004</t>
  </si>
  <si>
    <t>49.81999969</t>
  </si>
  <si>
    <t>72.56979194</t>
  </si>
  <si>
    <t>7.364422679</t>
  </si>
  <si>
    <t>6.537233844</t>
  </si>
  <si>
    <t>13.52855154</t>
  </si>
  <si>
    <t>61.26318196</t>
  </si>
  <si>
    <t>5.126042294</t>
  </si>
  <si>
    <t>7.524148785</t>
  </si>
  <si>
    <t>26.08662696</t>
  </si>
  <si>
    <t>83.95810401</t>
  </si>
  <si>
    <t>9.618977705</t>
  </si>
  <si>
    <t>5.54318741</t>
  </si>
  <si>
    <t>0.8797308764</t>
  </si>
  <si>
    <t>5057.676758</t>
  </si>
  <si>
    <t>52.08899689</t>
  </si>
  <si>
    <t>75.26179159</t>
  </si>
  <si>
    <t>8.700657475</t>
  </si>
  <si>
    <t>3.488080869</t>
  </si>
  <si>
    <t>12.54947006</t>
  </si>
  <si>
    <t>64.10021689</t>
  </si>
  <si>
    <t>6.537775797</t>
  </si>
  <si>
    <t>3.383709875</t>
  </si>
  <si>
    <t>25.97829744</t>
  </si>
  <si>
    <t>85.52810963</t>
  </si>
  <si>
    <t>10.69005698</t>
  </si>
  <si>
    <t>3.58408039</t>
  </si>
  <si>
    <t>0.1977530006</t>
  </si>
  <si>
    <t>Libya</t>
  </si>
  <si>
    <t>6418.314941</t>
  </si>
  <si>
    <t>79.27000427</t>
  </si>
  <si>
    <t>97.28161516</t>
  </si>
  <si>
    <t>2.718384841</t>
  </si>
  <si>
    <t>6871.287109</t>
  </si>
  <si>
    <t>80.69100189</t>
  </si>
  <si>
    <t>99.8915238</t>
  </si>
  <si>
    <t>0.1084762012</t>
  </si>
  <si>
    <t>Liechtenstein</t>
  </si>
  <si>
    <t>37.46500015</t>
  </si>
  <si>
    <t>14.30300045</t>
  </si>
  <si>
    <t>38.13700104</t>
  </si>
  <si>
    <t>14.41600037</t>
  </si>
  <si>
    <t>Lithuania</t>
  </si>
  <si>
    <t>2931.87207</t>
  </si>
  <si>
    <t>67.22999573</t>
  </si>
  <si>
    <t>96.60413858</t>
  </si>
  <si>
    <t>3.395861422</t>
  </si>
  <si>
    <t>90.71848441</t>
  </si>
  <si>
    <t>9.281515589</t>
  </si>
  <si>
    <t>99.47299035</t>
  </si>
  <si>
    <t>0.5270096501</t>
  </si>
  <si>
    <t>2722.291016</t>
  </si>
  <si>
    <t>68.04599762</t>
  </si>
  <si>
    <t>98.01334724</t>
  </si>
  <si>
    <t>1.98665276</t>
  </si>
  <si>
    <t>93.78278023</t>
  </si>
  <si>
    <t>6.217219771</t>
  </si>
  <si>
    <t>Luxembourg</t>
  </si>
  <si>
    <t>566.7410278</t>
  </si>
  <si>
    <t>90.17900085</t>
  </si>
  <si>
    <t>99.92517066</t>
  </si>
  <si>
    <t>0.07482934002</t>
  </si>
  <si>
    <t>99.23809524</t>
  </si>
  <si>
    <t>0.7619047619</t>
  </si>
  <si>
    <t>625.9760132</t>
  </si>
  <si>
    <t>91.4529953</t>
  </si>
  <si>
    <t>99.87993254</t>
  </si>
  <si>
    <t>0.1200674649</t>
  </si>
  <si>
    <t>98.5952381</t>
  </si>
  <si>
    <t>1.404761905</t>
  </si>
  <si>
    <t>Madagascar</t>
  </si>
  <si>
    <t>24234.08008</t>
  </si>
  <si>
    <t>35.19299698</t>
  </si>
  <si>
    <t>48.89177354</t>
  </si>
  <si>
    <t>2.67716038</t>
  </si>
  <si>
    <t>30.40673651</t>
  </si>
  <si>
    <t>18.02432957</t>
  </si>
  <si>
    <t>33.14457773</t>
  </si>
  <si>
    <t>1.743479446</t>
  </si>
  <si>
    <t>39.69799969</t>
  </si>
  <si>
    <t>25.41394313</t>
  </si>
  <si>
    <t>77.88983072</t>
  </si>
  <si>
    <t>4.396509873</t>
  </si>
  <si>
    <t>13.29711369</t>
  </si>
  <si>
    <t>4.416545719</t>
  </si>
  <si>
    <t>27691.01953</t>
  </si>
  <si>
    <t>38.5340004</t>
  </si>
  <si>
    <t>53.38588491</t>
  </si>
  <si>
    <t>2.71797298</t>
  </si>
  <si>
    <t>32.31145967</t>
  </si>
  <si>
    <t>11.58468244</t>
  </si>
  <si>
    <t>36.40642028</t>
  </si>
  <si>
    <t>1.601776163</t>
  </si>
  <si>
    <t>43.95389345</t>
  </si>
  <si>
    <t>18.03791011</t>
  </si>
  <si>
    <t>80.47000694</t>
  </si>
  <si>
    <t>4.498430298</t>
  </si>
  <si>
    <t>13.74049434</t>
  </si>
  <si>
    <t>1.291068417</t>
  </si>
  <si>
    <t>Malawi</t>
  </si>
  <si>
    <t>16745.30469</t>
  </si>
  <si>
    <t>16.31299973</t>
  </si>
  <si>
    <t>66.15495914</t>
  </si>
  <si>
    <t>19.71603831</t>
  </si>
  <si>
    <t>10.55451427</t>
  </si>
  <si>
    <t>3.574488277</t>
  </si>
  <si>
    <t>62.24060864</t>
  </si>
  <si>
    <t>21.69810966</t>
  </si>
  <si>
    <t>11.87522028</t>
  </si>
  <si>
    <t>4.186061413</t>
  </si>
  <si>
    <t>86.23587985</t>
  </si>
  <si>
    <t>9.547849488</t>
  </si>
  <si>
    <t>3.779202335</t>
  </si>
  <si>
    <t>0.4370683245</t>
  </si>
  <si>
    <t>19129.95508</t>
  </si>
  <si>
    <t>17.42700005</t>
  </si>
  <si>
    <t>70.04772851</t>
  </si>
  <si>
    <t>21.95081497</t>
  </si>
  <si>
    <t>5.776304407</t>
  </si>
  <si>
    <t>2.22515211</t>
  </si>
  <si>
    <t>66.58504376</t>
  </si>
  <si>
    <t>24.41415803</t>
  </si>
  <si>
    <t>6.383874146</t>
  </si>
  <si>
    <t>2.616924066</t>
  </si>
  <si>
    <t>86.45469821</t>
  </si>
  <si>
    <t>10.27894825</t>
  </si>
  <si>
    <t>2.897503996</t>
  </si>
  <si>
    <t>0.3688495446</t>
  </si>
  <si>
    <t>Malaysia</t>
  </si>
  <si>
    <t>30270.96484</t>
  </si>
  <si>
    <t>74.21299744</t>
  </si>
  <si>
    <t>97.05220256</t>
  </si>
  <si>
    <t>0.3630055004</t>
  </si>
  <si>
    <t>2.584791939</t>
  </si>
  <si>
    <t>90.91830922</t>
  </si>
  <si>
    <t>0.5488026714</t>
  </si>
  <si>
    <t>8.532888105</t>
  </si>
  <si>
    <t>99.18356605</t>
  </si>
  <si>
    <t>0.2984460363</t>
  </si>
  <si>
    <t>0.427987911</t>
  </si>
  <si>
    <t>0.09</t>
  </si>
  <si>
    <t>32365.99805</t>
  </si>
  <si>
    <t>77.15999603</t>
  </si>
  <si>
    <t>97.09990707</t>
  </si>
  <si>
    <t>0.3545396865</t>
  </si>
  <si>
    <t>2.545553241</t>
  </si>
  <si>
    <t>90.19744812</t>
  </si>
  <si>
    <t>0.5444513971</t>
  </si>
  <si>
    <t>9.258100478</t>
  </si>
  <si>
    <t>99.14309591</t>
  </si>
  <si>
    <t>0.2983242605</t>
  </si>
  <si>
    <t>0.4685798319</t>
  </si>
  <si>
    <t>Maldives</t>
  </si>
  <si>
    <t>454.9140015</t>
  </si>
  <si>
    <t>38.52899933</t>
  </si>
  <si>
    <t>98.81424429</t>
  </si>
  <si>
    <t>0.1121578799</t>
  </si>
  <si>
    <t>1.073597835</t>
  </si>
  <si>
    <t>98.87969927</t>
  </si>
  <si>
    <t>0.1669852816</t>
  </si>
  <si>
    <t>0.953315453</t>
  </si>
  <si>
    <t>98.70980569</t>
  </si>
  <si>
    <t>0.02468362233</t>
  </si>
  <si>
    <t>1.265510688</t>
  </si>
  <si>
    <t>540.5419922</t>
  </si>
  <si>
    <t>40.66899872</t>
  </si>
  <si>
    <t>99.5444386</t>
  </si>
  <si>
    <t>0.0480506913</t>
  </si>
  <si>
    <t>0.407510705</t>
  </si>
  <si>
    <t>99.9190125</t>
  </si>
  <si>
    <t>0.0809875</t>
  </si>
  <si>
    <t>98.99798893</t>
  </si>
  <si>
    <t>1.002011069</t>
  </si>
  <si>
    <t>Mali</t>
  </si>
  <si>
    <t>17438.77148</t>
  </si>
  <si>
    <t>39.99099731</t>
  </si>
  <si>
    <t>74.39951222</t>
  </si>
  <si>
    <t>4.171846453</t>
  </si>
  <si>
    <t>19.37992934</t>
  </si>
  <si>
    <t>2.048711981</t>
  </si>
  <si>
    <t>63.39571403</t>
  </si>
  <si>
    <t>4.449382415</t>
  </si>
  <si>
    <t>28.94484164</t>
  </si>
  <si>
    <t>3.21006192</t>
  </si>
  <si>
    <t>90.91140553</t>
  </si>
  <si>
    <t>3.755386657</t>
  </si>
  <si>
    <t>5.027173979</t>
  </si>
  <si>
    <t>0.306033834</t>
  </si>
  <si>
    <t>20250.83398</t>
  </si>
  <si>
    <t>43.90900421</t>
  </si>
  <si>
    <t>82.54729103</t>
  </si>
  <si>
    <t>3.854734527</t>
  </si>
  <si>
    <t>12.24697135</t>
  </si>
  <si>
    <t>1.35100309</t>
  </si>
  <si>
    <t>72.08089521</t>
  </si>
  <si>
    <t>3.78241223</t>
  </si>
  <si>
    <t>21.72810084</t>
  </si>
  <si>
    <t>2.408591717</t>
  </si>
  <si>
    <t>95.91745475</t>
  </si>
  <si>
    <t>3.947121723</t>
  </si>
  <si>
    <t>0.1354235314</t>
  </si>
  <si>
    <t>Malta</t>
  </si>
  <si>
    <t>433.5589905</t>
  </si>
  <si>
    <t>94.41400146</t>
  </si>
  <si>
    <t>441.5390015</t>
  </si>
  <si>
    <t>94.7440033</t>
  </si>
  <si>
    <t>100.0000004</t>
  </si>
  <si>
    <t>Marshall Islands</t>
  </si>
  <si>
    <t>57.44400024</t>
  </si>
  <si>
    <t>75.81099701</t>
  </si>
  <si>
    <t>88.34252362</t>
  </si>
  <si>
    <t>11.18141559</t>
  </si>
  <si>
    <t>0.4760607918</t>
  </si>
  <si>
    <t>94.27836</t>
  </si>
  <si>
    <t>5.38164</t>
  </si>
  <si>
    <t>0.34</t>
  </si>
  <si>
    <t>86.44857737</t>
  </si>
  <si>
    <t>13.03194895</t>
  </si>
  <si>
    <t>0.5194736842</t>
  </si>
  <si>
    <t>59.19400024</t>
  </si>
  <si>
    <t>77.79399109</t>
  </si>
  <si>
    <t>88.57204698</t>
  </si>
  <si>
    <t>11.387979</t>
  </si>
  <si>
    <t>0.03997402585</t>
  </si>
  <si>
    <t>94.42972</t>
  </si>
  <si>
    <t>5.39028</t>
  </si>
  <si>
    <t>0.18</t>
  </si>
  <si>
    <t>86.9</t>
  </si>
  <si>
    <t>13.1</t>
  </si>
  <si>
    <t>Martinique</t>
  </si>
  <si>
    <t>378.4830017</t>
  </si>
  <si>
    <t>88.98100281</t>
  </si>
  <si>
    <t>99.79603</t>
  </si>
  <si>
    <t>0.2039699954</t>
  </si>
  <si>
    <t>375.2650146</t>
  </si>
  <si>
    <t>89.13999939</t>
  </si>
  <si>
    <t>99.84197078</t>
  </si>
  <si>
    <t>0.1580292158</t>
  </si>
  <si>
    <t>Mauritania</t>
  </si>
  <si>
    <t>4046.303955</t>
  </si>
  <si>
    <t>51.0890007</t>
  </si>
  <si>
    <t>66.9733094</t>
  </si>
  <si>
    <t>14.81165357</t>
  </si>
  <si>
    <t>17.63702375</t>
  </si>
  <si>
    <t>0.5780132824</t>
  </si>
  <si>
    <t>46.69284218</t>
  </si>
  <si>
    <t>18.20063085</t>
  </si>
  <si>
    <t>33.9247615</t>
  </si>
  <si>
    <t>1.181765464</t>
  </si>
  <si>
    <t>86.38918859</t>
  </si>
  <si>
    <t>11.56715369</t>
  </si>
  <si>
    <t>2.043657719</t>
  </si>
  <si>
    <t>4649.660156</t>
  </si>
  <si>
    <t>55.32699585</t>
  </si>
  <si>
    <t>71.68104923</t>
  </si>
  <si>
    <t>13.47689193</t>
  </si>
  <si>
    <t>14.82032681</t>
  </si>
  <si>
    <t>0.02173203433</t>
  </si>
  <si>
    <t>49.9113389</t>
  </si>
  <si>
    <t>18.49039689</t>
  </si>
  <si>
    <t>31.5496173</t>
  </si>
  <si>
    <t>0.04864690722</t>
  </si>
  <si>
    <t>89.25869465</t>
  </si>
  <si>
    <t>9.428808083</t>
  </si>
  <si>
    <t>1.31249727</t>
  </si>
  <si>
    <t>Mauritius</t>
  </si>
  <si>
    <t>1259.457031</t>
  </si>
  <si>
    <t>41</t>
  </si>
  <si>
    <t>99.86648182</t>
  </si>
  <si>
    <t>0.1335181809</t>
  </si>
  <si>
    <t>99.82768234</t>
  </si>
  <si>
    <t>0.1723176618</t>
  </si>
  <si>
    <t>99.92231522</t>
  </si>
  <si>
    <t>0.07768478119</t>
  </si>
  <si>
    <t>1271.766968</t>
  </si>
  <si>
    <t>40.75999832</t>
  </si>
  <si>
    <t>99.8662547</t>
  </si>
  <si>
    <t>0.1337453014</t>
  </si>
  <si>
    <t>Mayotte</t>
  </si>
  <si>
    <t>240.0110016</t>
  </si>
  <si>
    <t>46.98900223</t>
  </si>
  <si>
    <t>96.83781128</t>
  </si>
  <si>
    <t>0.2820184669</t>
  </si>
  <si>
    <t>2.880170256</t>
  </si>
  <si>
    <t>272.8129883</t>
  </si>
  <si>
    <t>45.75099945</t>
  </si>
  <si>
    <t>96.37117971</t>
  </si>
  <si>
    <t>3.628820295</t>
  </si>
  <si>
    <t>Mexico</t>
  </si>
  <si>
    <t>121858.25</t>
  </si>
  <si>
    <t>79.28499603</t>
  </si>
  <si>
    <t>98.02544354</t>
  </si>
  <si>
    <t>1.412360964</t>
  </si>
  <si>
    <t>0.5621954921</t>
  </si>
  <si>
    <t>93.28669403</t>
  </si>
  <si>
    <t>4.310938852</t>
  </si>
  <si>
    <t>2.402367121</t>
  </si>
  <si>
    <t>99.2635529</t>
  </si>
  <si>
    <t>0.655038006</t>
  </si>
  <si>
    <t>0.08140909465</t>
  </si>
  <si>
    <t>128932.75</t>
  </si>
  <si>
    <t>80.73099518</t>
  </si>
  <si>
    <t>99.67956828</t>
  </si>
  <si>
    <t>0.3204317169</t>
  </si>
  <si>
    <t>98.33706893</t>
  </si>
  <si>
    <t>1.662931067</t>
  </si>
  <si>
    <t>Micronesia (Federated States of)</t>
  </si>
  <si>
    <t>108.8860016</t>
  </si>
  <si>
    <t>22.45599937</t>
  </si>
  <si>
    <t>88.30815668</t>
  </si>
  <si>
    <t>11.69184332</t>
  </si>
  <si>
    <t>113.810997</t>
  </si>
  <si>
    <t>22.81200027</t>
  </si>
  <si>
    <t>Monaco</t>
  </si>
  <si>
    <t>37.72299957</t>
  </si>
  <si>
    <t>39.24399948</t>
  </si>
  <si>
    <t>Mongolia</t>
  </si>
  <si>
    <t>2998.433105</t>
  </si>
  <si>
    <t>68.22999573</t>
  </si>
  <si>
    <t>80.81301209</t>
  </si>
  <si>
    <t>3.905181378</t>
  </si>
  <si>
    <t>7.578644581</t>
  </si>
  <si>
    <t>7.70316195</t>
  </si>
  <si>
    <t>52.09388801</t>
  </si>
  <si>
    <t>5.33358915</t>
  </si>
  <si>
    <t>18.71864336</t>
  </si>
  <si>
    <t>23.85387948</t>
  </si>
  <si>
    <t>94.18552724</t>
  </si>
  <si>
    <t>3.240070405</t>
  </si>
  <si>
    <t>2.391515544</t>
  </si>
  <si>
    <t>0.1828868106</t>
  </si>
  <si>
    <t>3278.291992</t>
  </si>
  <si>
    <t>68.65699768</t>
  </si>
  <si>
    <t>85.49562527</t>
  </si>
  <si>
    <t>2.14642893</t>
  </si>
  <si>
    <t>6.633366714</t>
  </si>
  <si>
    <t>5.724579081</t>
  </si>
  <si>
    <t>61.07075114</t>
  </si>
  <si>
    <t>3.084170572</t>
  </si>
  <si>
    <t>17.58078116</t>
  </si>
  <si>
    <t>18.26429713</t>
  </si>
  <si>
    <t>96.64596558</t>
  </si>
  <si>
    <t>1.718335079</t>
  </si>
  <si>
    <t>1.635699341</t>
  </si>
  <si>
    <t>Montenegro</t>
  </si>
  <si>
    <t>626.9569702</t>
  </si>
  <si>
    <t>65.80599976</t>
  </si>
  <si>
    <t>97.39129537</t>
  </si>
  <si>
    <t>1.68690191</t>
  </si>
  <si>
    <t>0.8814458462</t>
  </si>
  <si>
    <t>0.04035686954</t>
  </si>
  <si>
    <t>95.96066218</t>
  </si>
  <si>
    <t>1.539303155</t>
  </si>
  <si>
    <t>2.38201141</t>
  </si>
  <si>
    <t>0.1180232558</t>
  </si>
  <si>
    <t>98.13467845</t>
  </si>
  <si>
    <t>1.763596913</t>
  </si>
  <si>
    <t>0.101724636</t>
  </si>
  <si>
    <t>628.0620117</t>
  </si>
  <si>
    <t>67.48800659</t>
  </si>
  <si>
    <t>98.85691652</t>
  </si>
  <si>
    <t>0.5454788204</t>
  </si>
  <si>
    <t>0.592312011</t>
  </si>
  <si>
    <t>0.005292650894</t>
  </si>
  <si>
    <t>98.16188754</t>
  </si>
  <si>
    <t>1.821833386</t>
  </si>
  <si>
    <t>0.01627906977</t>
  </si>
  <si>
    <t>99.19173959</t>
  </si>
  <si>
    <t>0.8082604128</t>
  </si>
  <si>
    <t>Montserrat</t>
  </si>
  <si>
    <t>4.96600008</t>
  </si>
  <si>
    <t>9.041000366</t>
  </si>
  <si>
    <t>98.07082056</t>
  </si>
  <si>
    <t>1.929179439</t>
  </si>
  <si>
    <t>4.999000072</t>
  </si>
  <si>
    <t>9.114999771</t>
  </si>
  <si>
    <t>98.07748262</t>
  </si>
  <si>
    <t>1.922517378</t>
  </si>
  <si>
    <t>Morocco</t>
  </si>
  <si>
    <t>34663.60938</t>
  </si>
  <si>
    <t>60.80899811</t>
  </si>
  <si>
    <t>83.75113288</t>
  </si>
  <si>
    <t>5.937188415</t>
  </si>
  <si>
    <t>8.517881858</t>
  </si>
  <si>
    <t>1.793796851</t>
  </si>
  <si>
    <t>64.17252874</t>
  </si>
  <si>
    <t>12.25581871</t>
  </si>
  <si>
    <t>19.02957964</t>
  </si>
  <si>
    <t>4.542072914</t>
  </si>
  <si>
    <t>96.36941502</t>
  </si>
  <si>
    <t>1.864872571</t>
  </si>
  <si>
    <t>1.743161481</t>
  </si>
  <si>
    <t>0.02255092798</t>
  </si>
  <si>
    <t>36910.55859</t>
  </si>
  <si>
    <t>63.53199768</t>
  </si>
  <si>
    <t>90.40234468</t>
  </si>
  <si>
    <t>5.263549601</t>
  </si>
  <si>
    <t>2.8776725</t>
  </si>
  <si>
    <t>1.456433219</t>
  </si>
  <si>
    <t>77.34612896</t>
  </si>
  <si>
    <t>12.03707816</t>
  </si>
  <si>
    <t>6.623063373</t>
  </si>
  <si>
    <t>3.993729502</t>
  </si>
  <si>
    <t>97.89674601</t>
  </si>
  <si>
    <t>1.375477117</t>
  </si>
  <si>
    <t>0.7277768759</t>
  </si>
  <si>
    <t>Mozambique</t>
  </si>
  <si>
    <t>27042.00195</t>
  </si>
  <si>
    <t>34.40000153</t>
  </si>
  <si>
    <t>51.17617521</t>
  </si>
  <si>
    <t>10.3714084</t>
  </si>
  <si>
    <t>26.51349315</t>
  </si>
  <si>
    <t>11.93892324</t>
  </si>
  <si>
    <t>35.97137876</t>
  </si>
  <si>
    <t>12.36707992</t>
  </si>
  <si>
    <t>34.81487395</t>
  </si>
  <si>
    <t>16.84666736</t>
  </si>
  <si>
    <t>80.17136583</t>
  </si>
  <si>
    <t>6.565709571</t>
  </si>
  <si>
    <t>10.68295442</t>
  </si>
  <si>
    <t>2.579970181</t>
  </si>
  <si>
    <t>31255.43555</t>
  </si>
  <si>
    <t>37.0739975</t>
  </si>
  <si>
    <t>63.36942563</t>
  </si>
  <si>
    <t>9.975784507</t>
  </si>
  <si>
    <t>16.72614511</t>
  </si>
  <si>
    <t>9.928644759</t>
  </si>
  <si>
    <t>48.8666865</t>
  </si>
  <si>
    <t>12.64088359</t>
  </si>
  <si>
    <t>23.6862564</t>
  </si>
  <si>
    <t>14.80617352</t>
  </si>
  <si>
    <t>87.98504792</t>
  </si>
  <si>
    <t>5.452291027</t>
  </si>
  <si>
    <t>4.912684644</t>
  </si>
  <si>
    <t>1.649976404</t>
  </si>
  <si>
    <t>Myanmar</t>
  </si>
  <si>
    <t>52680.72266</t>
  </si>
  <si>
    <t>29.8579998</t>
  </si>
  <si>
    <t>73.5874705</t>
  </si>
  <si>
    <t>6.835532269</t>
  </si>
  <si>
    <t>8.269037119</t>
  </si>
  <si>
    <t>11.30796011</t>
  </si>
  <si>
    <t>67.24961354</t>
  </si>
  <si>
    <t>8.042280354</t>
  </si>
  <si>
    <t>10.1459869</t>
  </si>
  <si>
    <t>14.56211921</t>
  </si>
  <si>
    <t>88.47627629</t>
  </si>
  <si>
    <t>4.000656379</t>
  </si>
  <si>
    <t>3.859732696</t>
  </si>
  <si>
    <t>3.663334632</t>
  </si>
  <si>
    <t>54409.79297</t>
  </si>
  <si>
    <t>31.14100075</t>
  </si>
  <si>
    <t>83.71819191</t>
  </si>
  <si>
    <t>1.595436949</t>
  </si>
  <si>
    <t>5.10942478</t>
  </si>
  <si>
    <t>9.576946362</t>
  </si>
  <si>
    <t>78.42256469</t>
  </si>
  <si>
    <t>2.316962142</t>
  </si>
  <si>
    <t>6.592393694</t>
  </si>
  <si>
    <t>12.66807947</t>
  </si>
  <si>
    <t>95.42788606</t>
  </si>
  <si>
    <t>1.830283006</t>
  </si>
  <si>
    <t>2.741830931</t>
  </si>
  <si>
    <t>Namibia</t>
  </si>
  <si>
    <t>2314.900879</t>
  </si>
  <si>
    <t>46.90000534</t>
  </si>
  <si>
    <t>82.52413515</t>
  </si>
  <si>
    <t>7.275476154</t>
  </si>
  <si>
    <t>4.416461411</t>
  </si>
  <si>
    <t>5.783927281</t>
  </si>
  <si>
    <t>70.14103138</t>
  </si>
  <si>
    <t>11.72007222</t>
  </si>
  <si>
    <t>7.614389637</t>
  </si>
  <si>
    <t>10.52450676</t>
  </si>
  <si>
    <t>96.54423562</t>
  </si>
  <si>
    <t>2.243322298</t>
  </si>
  <si>
    <t>0.7957798889</t>
  </si>
  <si>
    <t>0.4166621911</t>
  </si>
  <si>
    <t>2540.916016</t>
  </si>
  <si>
    <t>52.03300095</t>
  </si>
  <si>
    <t>84.27003628</t>
  </si>
  <si>
    <t>7.08762751</t>
  </si>
  <si>
    <t>3.740143722</t>
  </si>
  <si>
    <t>4.902192485</t>
  </si>
  <si>
    <t>71.25616743</t>
  </si>
  <si>
    <t>11.97218925</t>
  </si>
  <si>
    <t>7.081803759</t>
  </si>
  <si>
    <t>9.689839563</t>
  </si>
  <si>
    <t>96.26696535</t>
  </si>
  <si>
    <t>2.584758965</t>
  </si>
  <si>
    <t>0.6596102638</t>
  </si>
  <si>
    <t>0.4886654211</t>
  </si>
  <si>
    <t>Nauru</t>
  </si>
  <si>
    <t>10.3739996</t>
  </si>
  <si>
    <t>10.83399963</t>
  </si>
  <si>
    <t>Nepal</t>
  </si>
  <si>
    <t>27015.0332</t>
  </si>
  <si>
    <t>18.55699921</t>
  </si>
  <si>
    <t>87.80846759</t>
  </si>
  <si>
    <t>3.167904459</t>
  </si>
  <si>
    <t>7.264208528</t>
  </si>
  <si>
    <t>1.759419423</t>
  </si>
  <si>
    <t>87.24197964</t>
  </si>
  <si>
    <t>3.310271258</t>
  </si>
  <si>
    <t>7.531317484</t>
  </si>
  <si>
    <t>1.916431618</t>
  </si>
  <si>
    <t>90.2946711</t>
  </si>
  <si>
    <t>2.543084752</t>
  </si>
  <si>
    <t>6.091920182</t>
  </si>
  <si>
    <t>1.07032397</t>
  </si>
  <si>
    <t>29136.80859</t>
  </si>
  <si>
    <t>20.57600021</t>
  </si>
  <si>
    <t>90.07454179</t>
  </si>
  <si>
    <t>3.979825725</t>
  </si>
  <si>
    <t>4.699081176</t>
  </si>
  <si>
    <t>1.246551314</t>
  </si>
  <si>
    <t>90.20327165</t>
  </si>
  <si>
    <t>4.207348246</t>
  </si>
  <si>
    <t>4.269023951</t>
  </si>
  <si>
    <t>1.320356149</t>
  </si>
  <si>
    <t>89.57763316</t>
  </si>
  <si>
    <t>3.101581411</t>
  </si>
  <si>
    <t>6.359123168</t>
  </si>
  <si>
    <t>0.9616622585</t>
  </si>
  <si>
    <t>Netherlands</t>
  </si>
  <si>
    <t>16938.49219</t>
  </si>
  <si>
    <t>90.17299652</t>
  </si>
  <si>
    <t>99.99999856</t>
  </si>
  <si>
    <t>0.000001441336238</t>
  </si>
  <si>
    <t>17134.87305</t>
  </si>
  <si>
    <t>92.23600006</t>
  </si>
  <si>
    <t>99.99999929</t>
  </si>
  <si>
    <t>0.000000712408621</t>
  </si>
  <si>
    <t>New Caledonia</t>
  </si>
  <si>
    <t>271.0620117</t>
  </si>
  <si>
    <t>69.37900543</t>
  </si>
  <si>
    <t>98.13855849</t>
  </si>
  <si>
    <t>1.861441508</t>
  </si>
  <si>
    <t>285.4909973</t>
  </si>
  <si>
    <t>71.51799774</t>
  </si>
  <si>
    <t>99.30532057</t>
  </si>
  <si>
    <t>0.6946794278</t>
  </si>
  <si>
    <t>New Zealand</t>
  </si>
  <si>
    <t>4614.526855</t>
  </si>
  <si>
    <t>86.34099579</t>
  </si>
  <si>
    <t>99.99999735</t>
  </si>
  <si>
    <t>0.000002645348403</t>
  </si>
  <si>
    <t>4822.23291</t>
  </si>
  <si>
    <t>86.6989975</t>
  </si>
  <si>
    <t>100.0000013</t>
  </si>
  <si>
    <t>Nicaragua</t>
  </si>
  <si>
    <t>6223.233887</t>
  </si>
  <si>
    <t>57.89499664</t>
  </si>
  <si>
    <t>81.35312854</t>
  </si>
  <si>
    <t>1.425927388</t>
  </si>
  <si>
    <t>13.835759</t>
  </si>
  <si>
    <t>3.38518507</t>
  </si>
  <si>
    <t>59.50465784</t>
  </si>
  <si>
    <t>3.238961865</t>
  </si>
  <si>
    <t>29.55960602</t>
  </si>
  <si>
    <t>7.696774271</t>
  </si>
  <si>
    <t>97.24275488</t>
  </si>
  <si>
    <t>0.1073710103</t>
  </si>
  <si>
    <t>2.400356622</t>
  </si>
  <si>
    <t>0.2495174846</t>
  </si>
  <si>
    <t>6624.554199</t>
  </si>
  <si>
    <t>59.01200104</t>
  </si>
  <si>
    <t>81.7087538</t>
  </si>
  <si>
    <t>1.506645682</t>
  </si>
  <si>
    <t>13.53053114</t>
  </si>
  <si>
    <t>3.254069378</t>
  </si>
  <si>
    <t>59.10744663</t>
  </si>
  <si>
    <t>3.520974285</t>
  </si>
  <si>
    <t>29.78017368</t>
  </si>
  <si>
    <t>7.5914054</t>
  </si>
  <si>
    <t>97.40695661</t>
  </si>
  <si>
    <t>0.1075523143</t>
  </si>
  <si>
    <t>2.244007656</t>
  </si>
  <si>
    <t>0.2414834229</t>
  </si>
  <si>
    <t>Niger</t>
  </si>
  <si>
    <t>20001.66211</t>
  </si>
  <si>
    <t>16.24699974</t>
  </si>
  <si>
    <t>45.48245806</t>
  </si>
  <si>
    <t>16.12883696</t>
  </si>
  <si>
    <t>34.71956001</t>
  </si>
  <si>
    <t>3.669144972</t>
  </si>
  <si>
    <t>37.32994165</t>
  </si>
  <si>
    <t>17.64359486</t>
  </si>
  <si>
    <t>40.88848775</t>
  </si>
  <si>
    <t>4.137975751</t>
  </si>
  <si>
    <t>87.50853904</t>
  </si>
  <si>
    <t>8.320286196</t>
  </si>
  <si>
    <t>2.918844344</t>
  </si>
  <si>
    <t>1.252330425</t>
  </si>
  <si>
    <t>24206.63672</t>
  </si>
  <si>
    <t>16.62599945</t>
  </si>
  <si>
    <t>46.91179747</t>
  </si>
  <si>
    <t>21.6538987</t>
  </si>
  <si>
    <t>27.02751244</t>
  </si>
  <si>
    <t>4.406791392</t>
  </si>
  <si>
    <t>39.15415932</t>
  </si>
  <si>
    <t>23.98774039</t>
  </si>
  <si>
    <t>31.99150648</t>
  </si>
  <si>
    <t>4.866593813</t>
  </si>
  <si>
    <t>85.81383976</t>
  </si>
  <si>
    <t>9.950440829</t>
  </si>
  <si>
    <t>2.13468778</t>
  </si>
  <si>
    <t>2.101031634</t>
  </si>
  <si>
    <t>Nigeria</t>
  </si>
  <si>
    <t>181137.4531</t>
  </si>
  <si>
    <t>47.83799744</t>
  </si>
  <si>
    <t>68.77975546</t>
  </si>
  <si>
    <t>6.713550996</t>
  </si>
  <si>
    <t>14.73376246</t>
  </si>
  <si>
    <t>9.772931086</t>
  </si>
  <si>
    <t>53.492449</t>
  </si>
  <si>
    <t>7.106440271</t>
  </si>
  <si>
    <t>23.1071601</t>
  </si>
  <si>
    <t>16.29395062</t>
  </si>
  <si>
    <t>85.44885832</t>
  </si>
  <si>
    <t>6.285149056</t>
  </si>
  <si>
    <t>5.603506118</t>
  </si>
  <si>
    <t>2.662486501</t>
  </si>
  <si>
    <t>206139.5938</t>
  </si>
  <si>
    <t>51.95800018</t>
  </si>
  <si>
    <t>77.60905338</t>
  </si>
  <si>
    <t>4.979399343</t>
  </si>
  <si>
    <t>11.79691148</t>
  </si>
  <si>
    <t>5.614635794</t>
  </si>
  <si>
    <t>61.65821003</t>
  </si>
  <si>
    <t>7.128924583</t>
  </si>
  <si>
    <t>20.92487535</t>
  </si>
  <si>
    <t>10.28799004</t>
  </si>
  <si>
    <t>92.35770519</t>
  </si>
  <si>
    <t>2.99188065</t>
  </si>
  <si>
    <t>3.356908786</t>
  </si>
  <si>
    <t>1.29350537</t>
  </si>
  <si>
    <t>Niue</t>
  </si>
  <si>
    <t>1.610000014</t>
  </si>
  <si>
    <t>42.56800079</t>
  </si>
  <si>
    <t>97.60613941</t>
  </si>
  <si>
    <t>2.393860594</t>
  </si>
  <si>
    <t>1.618000031</t>
  </si>
  <si>
    <t>46.20200348</t>
  </si>
  <si>
    <t>97.01087618</t>
  </si>
  <si>
    <t>2.989123822</t>
  </si>
  <si>
    <t>North Macedonia</t>
  </si>
  <si>
    <t>2079.334961</t>
  </si>
  <si>
    <t>57.40799713</t>
  </si>
  <si>
    <t>97.47233283</t>
  </si>
  <si>
    <t>1.885991713</t>
  </si>
  <si>
    <t>0.5924731745</t>
  </si>
  <si>
    <t>0.04920227976</t>
  </si>
  <si>
    <t>97.63323313</t>
  </si>
  <si>
    <t>1.2224645</t>
  </si>
  <si>
    <t>1.028782373</t>
  </si>
  <si>
    <t>0.11552</t>
  </si>
  <si>
    <t>97.35295808</t>
  </si>
  <si>
    <t>2.37827419</t>
  </si>
  <si>
    <t>0.2687677275</t>
  </si>
  <si>
    <t>2083.379883</t>
  </si>
  <si>
    <t>58.48199844</t>
  </si>
  <si>
    <t>97.74281579</t>
  </si>
  <si>
    <t>1.63499414</t>
  </si>
  <si>
    <t>0.5742284762</t>
  </si>
  <si>
    <t>0.04796159706</t>
  </si>
  <si>
    <t>97.46871457</t>
  </si>
  <si>
    <t>1.505202232</t>
  </si>
  <si>
    <t>0.9105631982</t>
  </si>
  <si>
    <t>97.93740299</t>
  </si>
  <si>
    <t>1.727136954</t>
  </si>
  <si>
    <t>0.3354600563</t>
  </si>
  <si>
    <t>Northern Mariana Islands</t>
  </si>
  <si>
    <t>55.77899933</t>
  </si>
  <si>
    <t>91.35699463</t>
  </si>
  <si>
    <t>99.98018339</t>
  </si>
  <si>
    <t>0.01981661152</t>
  </si>
  <si>
    <t>57.55699921</t>
  </si>
  <si>
    <t>91.79799652</t>
  </si>
  <si>
    <t>Norway</t>
  </si>
  <si>
    <t>5199.827148</t>
  </si>
  <si>
    <t>81.09099579</t>
  </si>
  <si>
    <t>100.0000012</t>
  </si>
  <si>
    <t>5421.242188</t>
  </si>
  <si>
    <t>82.97399139</t>
  </si>
  <si>
    <t>99.9999955</t>
  </si>
  <si>
    <t>0.000004503407453</t>
  </si>
  <si>
    <t>Oman</t>
  </si>
  <si>
    <t>4267.34082</t>
  </si>
  <si>
    <t>81.34999847</t>
  </si>
  <si>
    <t>90.23848564</t>
  </si>
  <si>
    <t>8.208802788</t>
  </si>
  <si>
    <t>1.473142599</t>
  </si>
  <si>
    <t>0.0795689751</t>
  </si>
  <si>
    <t>74.36690846</t>
  </si>
  <si>
    <t>21.09767236</t>
  </si>
  <si>
    <t>4.386731832</t>
  </si>
  <si>
    <t>0.1486873508</t>
  </si>
  <si>
    <t>93.87714508</t>
  </si>
  <si>
    <t>5.253947929</t>
  </si>
  <si>
    <t>0.8051838421</t>
  </si>
  <si>
    <t>0.06372315036</t>
  </si>
  <si>
    <t>5106.62207</t>
  </si>
  <si>
    <t>86.27599335</t>
  </si>
  <si>
    <t>92.16802469</t>
  </si>
  <si>
    <t>7.541419893</t>
  </si>
  <si>
    <t>0.2604052036</t>
  </si>
  <si>
    <t>0.03015021745</t>
  </si>
  <si>
    <t>76.25077991</t>
  </si>
  <si>
    <t>21.63212113</t>
  </si>
  <si>
    <t>1.897409218</t>
  </si>
  <si>
    <t>0.2196897375</t>
  </si>
  <si>
    <t>94.7</t>
  </si>
  <si>
    <t>5.3</t>
  </si>
  <si>
    <t>Pakistan</t>
  </si>
  <si>
    <t>199426.9531</t>
  </si>
  <si>
    <t>36.02600098</t>
  </si>
  <si>
    <t>89.45498234</t>
  </si>
  <si>
    <t>3.65595302</t>
  </si>
  <si>
    <t>4.42169119</t>
  </si>
  <si>
    <t>2.467373447</t>
  </si>
  <si>
    <t>87.15095676</t>
  </si>
  <si>
    <t>3.956563839</t>
  </si>
  <si>
    <t>5.236412879</t>
  </si>
  <si>
    <t>3.656066523</t>
  </si>
  <si>
    <t>93.54640884</t>
  </si>
  <si>
    <t>3.122136433</t>
  </si>
  <si>
    <t>2.974930389</t>
  </si>
  <si>
    <t>0.35652434</t>
  </si>
  <si>
    <t>220892.3281</t>
  </si>
  <si>
    <t>37.16500092</t>
  </si>
  <si>
    <t>90.14896508</t>
  </si>
  <si>
    <t>3.822279525</t>
  </si>
  <si>
    <t>4.413307574</t>
  </si>
  <si>
    <t>1.61544782</t>
  </si>
  <si>
    <t>88.59986076</t>
  </si>
  <si>
    <t>3.852278117</t>
  </si>
  <si>
    <t>5.174596509</t>
  </si>
  <si>
    <t>2.373264617</t>
  </si>
  <si>
    <t>92.76804985</t>
  </si>
  <si>
    <t>3.771561162</t>
  </si>
  <si>
    <t>3.126184571</t>
  </si>
  <si>
    <t>0.3342044223</t>
  </si>
  <si>
    <t>Palau</t>
  </si>
  <si>
    <t>17.66500092</t>
  </si>
  <si>
    <t>78.15899658</t>
  </si>
  <si>
    <t>99.63015085</t>
  </si>
  <si>
    <t>0.3698491499</t>
  </si>
  <si>
    <t>99.61387148</t>
  </si>
  <si>
    <t>0.3861285173</t>
  </si>
  <si>
    <t>99.63470173</t>
  </si>
  <si>
    <t>0.3652982706</t>
  </si>
  <si>
    <t>18.09199905</t>
  </si>
  <si>
    <t>80.98799896</t>
  </si>
  <si>
    <t>99.6575455</t>
  </si>
  <si>
    <t>0.3424544984</t>
  </si>
  <si>
    <t>99.75698503</t>
  </si>
  <si>
    <t>0.2430149677</t>
  </si>
  <si>
    <t>99.63420199</t>
  </si>
  <si>
    <t>0.3657980078</t>
  </si>
  <si>
    <t>Panama</t>
  </si>
  <si>
    <t>3968.48999</t>
  </si>
  <si>
    <t>66.69599915</t>
  </si>
  <si>
    <t>92.90436561</t>
  </si>
  <si>
    <t>1.845644171</t>
  </si>
  <si>
    <t>3.160016841</t>
  </si>
  <si>
    <t>2.08997338</t>
  </si>
  <si>
    <t>83.67957953</t>
  </si>
  <si>
    <t>1.737106037</t>
  </si>
  <si>
    <t>8.379298168</t>
  </si>
  <si>
    <t>6.20401626</t>
  </si>
  <si>
    <t>97.51067739</t>
  </si>
  <si>
    <t>1.899841721</t>
  </si>
  <si>
    <t>0.5538148391</t>
  </si>
  <si>
    <t>0.03566604616</t>
  </si>
  <si>
    <t>4314.768066</t>
  </si>
  <si>
    <t>68.41400146</t>
  </si>
  <si>
    <t>94.37254436</t>
  </si>
  <si>
    <t>1.873480592</t>
  </si>
  <si>
    <t>2.262304247</t>
  </si>
  <si>
    <t>1.491670799</t>
  </si>
  <si>
    <t>86.32308326</t>
  </si>
  <si>
    <t>1.791982583</t>
  </si>
  <si>
    <t>7.162364342</t>
  </si>
  <si>
    <t>4.722569811</t>
  </si>
  <si>
    <t>98.08889267</t>
  </si>
  <si>
    <t>1.911107333</t>
  </si>
  <si>
    <t>Papua New Guinea</t>
  </si>
  <si>
    <t>8107.771973</t>
  </si>
  <si>
    <t>13.01200008</t>
  </si>
  <si>
    <t>41.48550844</t>
  </si>
  <si>
    <t>1.80995308</t>
  </si>
  <si>
    <t>21.261052</t>
  </si>
  <si>
    <t>35.44348648</t>
  </si>
  <si>
    <t>34.990633</t>
  </si>
  <si>
    <t>1.804724433</t>
  </si>
  <si>
    <t>23.25354875</t>
  </si>
  <si>
    <t>39.95109382</t>
  </si>
  <si>
    <t>84.90514306</t>
  </si>
  <si>
    <t>1.844907912</t>
  </si>
  <si>
    <t>7.940776435</t>
  </si>
  <si>
    <t>5.309172598</t>
  </si>
  <si>
    <t>8947.027344</t>
  </si>
  <si>
    <t>13.34500027</t>
  </si>
  <si>
    <t>45.34401752</t>
  </si>
  <si>
    <t>2.128564452</t>
  </si>
  <si>
    <t>22.15762495</t>
  </si>
  <si>
    <t>30.36979308</t>
  </si>
  <si>
    <t>39.07134367</t>
  </si>
  <si>
    <t>2.429850293</t>
  </si>
  <si>
    <t>24.43180086</t>
  </si>
  <si>
    <t>34.06700517</t>
  </si>
  <si>
    <t>86.07527164</t>
  </si>
  <si>
    <t>0.1721822608</t>
  </si>
  <si>
    <t>7.390385564</t>
  </si>
  <si>
    <t>6.362160532</t>
  </si>
  <si>
    <t>Paraguay</t>
  </si>
  <si>
    <t>6688.746094</t>
  </si>
  <si>
    <t>60.75</t>
  </si>
  <si>
    <t>96.83621453</t>
  </si>
  <si>
    <t>0.328424003</t>
  </si>
  <si>
    <t>2.756768199</t>
  </si>
  <si>
    <t>0.07859326698</t>
  </si>
  <si>
    <t>93.34470029</t>
  </si>
  <si>
    <t>0.6976664397</t>
  </si>
  <si>
    <t>5.757395646</t>
  </si>
  <si>
    <t>0.2002376288</t>
  </si>
  <si>
    <t>99.09204873</t>
  </si>
  <si>
    <t>0.08985997117</t>
  </si>
  <si>
    <t>0.818091301</t>
  </si>
  <si>
    <t>7132.529785</t>
  </si>
  <si>
    <t>62.18299484</t>
  </si>
  <si>
    <t>99.59346633</t>
  </si>
  <si>
    <t>0.4065302439</t>
  </si>
  <si>
    <t>0.0000034229177</t>
  </si>
  <si>
    <t>99.11122753</t>
  </si>
  <si>
    <t>0.8887724684</t>
  </si>
  <si>
    <t>99.88674854</t>
  </si>
  <si>
    <t>0.1132514643</t>
  </si>
  <si>
    <t>Peru</t>
  </si>
  <si>
    <t>30470.73828</t>
  </si>
  <si>
    <t>77.35700226</t>
  </si>
  <si>
    <t>90.28200304</t>
  </si>
  <si>
    <t>0.9325834719</t>
  </si>
  <si>
    <t>5.763626055</t>
  </si>
  <si>
    <t>3.021787439</t>
  </si>
  <si>
    <t>73.28762384</t>
  </si>
  <si>
    <t>1.523040337</t>
  </si>
  <si>
    <t>12.99206766</t>
  </si>
  <si>
    <t>12.19726817</t>
  </si>
  <si>
    <t>95.25638702</t>
  </si>
  <si>
    <t>0.75975209</t>
  </si>
  <si>
    <t>3.647808558</t>
  </si>
  <si>
    <t>0.3360523291</t>
  </si>
  <si>
    <t>32971.84766</t>
  </si>
  <si>
    <t>78.2970047</t>
  </si>
  <si>
    <t>93.13936621</t>
  </si>
  <si>
    <t>0.8495593511</t>
  </si>
  <si>
    <t>4.150468349</t>
  </si>
  <si>
    <t>1.860606087</t>
  </si>
  <si>
    <t>80.79943849</t>
  </si>
  <si>
    <t>1.596943771</t>
  </si>
  <si>
    <t>9.612691163</t>
  </si>
  <si>
    <t>7.990926578</t>
  </si>
  <si>
    <t>96.55984408</t>
  </si>
  <si>
    <t>0.6423932356</t>
  </si>
  <si>
    <t>2.636408693</t>
  </si>
  <si>
    <t>0.1613539953</t>
  </si>
  <si>
    <t>Philippines</t>
  </si>
  <si>
    <t>102113.2031</t>
  </si>
  <si>
    <t>46.2840004</t>
  </si>
  <si>
    <t>92.01770102</t>
  </si>
  <si>
    <t>2.920429319</t>
  </si>
  <si>
    <t>4.532138462</t>
  </si>
  <si>
    <t>0.5297311944</t>
  </si>
  <si>
    <t>88.20816233</t>
  </si>
  <si>
    <t>3.825892542</t>
  </si>
  <si>
    <t>7.111213037</t>
  </si>
  <si>
    <t>0.8547320937</t>
  </si>
  <si>
    <t>96.43895214</t>
  </si>
  <si>
    <t>1.869572353</t>
  </si>
  <si>
    <t>1.538931873</t>
  </si>
  <si>
    <t>0.1525436393</t>
  </si>
  <si>
    <t>109581.0859</t>
  </si>
  <si>
    <t>47.40799713</t>
  </si>
  <si>
    <t>94.10903456</t>
  </si>
  <si>
    <t>2.856486137</t>
  </si>
  <si>
    <t>3.034479307</t>
  </si>
  <si>
    <t>91.06193322</t>
  </si>
  <si>
    <t>3.959520428</t>
  </si>
  <si>
    <t>4.978546347</t>
  </si>
  <si>
    <t>97.4893325</t>
  </si>
  <si>
    <t>1.632836465</t>
  </si>
  <si>
    <t>0.877831036</t>
  </si>
  <si>
    <t>Poland</t>
  </si>
  <si>
    <t>38034.07422</t>
  </si>
  <si>
    <t>60.27799606</t>
  </si>
  <si>
    <t>99.23206988</t>
  </si>
  <si>
    <t>0.7679301246</t>
  </si>
  <si>
    <t>98.53790323</t>
  </si>
  <si>
    <t>1.462096774</t>
  </si>
  <si>
    <t>99.68951613</t>
  </si>
  <si>
    <t>0.310483871</t>
  </si>
  <si>
    <t>37846.60547</t>
  </si>
  <si>
    <t>60.04300308</t>
  </si>
  <si>
    <t>99.96659155</t>
  </si>
  <si>
    <t>0.03340844529</t>
  </si>
  <si>
    <t>99.94435484</t>
  </si>
  <si>
    <t>0.05564516129</t>
  </si>
  <si>
    <t>Portugal</t>
  </si>
  <si>
    <t>10368.3457</t>
  </si>
  <si>
    <t>63.51399994</t>
  </si>
  <si>
    <t>99.90468984</t>
  </si>
  <si>
    <t>0.095310157</t>
  </si>
  <si>
    <t>99.73877609</t>
  </si>
  <si>
    <t>0.2612239122</t>
  </si>
  <si>
    <t>10196.70703</t>
  </si>
  <si>
    <t>66.30999756</t>
  </si>
  <si>
    <t>99.91199367</t>
  </si>
  <si>
    <t>0.08800633369</t>
  </si>
  <si>
    <t>Puerto Rico</t>
  </si>
  <si>
    <t>3381.511963</t>
  </si>
  <si>
    <t>93.62400055</t>
  </si>
  <si>
    <t>99.42544976</t>
  </si>
  <si>
    <t>0.574550243</t>
  </si>
  <si>
    <t>2860.840088</t>
  </si>
  <si>
    <t>93.58100128</t>
  </si>
  <si>
    <t>Qatar</t>
  </si>
  <si>
    <t>2565.708008</t>
  </si>
  <si>
    <t>98.94499207</t>
  </si>
  <si>
    <t>99.69150138</t>
  </si>
  <si>
    <t>0.308498617</t>
  </si>
  <si>
    <t>2881.060059</t>
  </si>
  <si>
    <t>99.23500061</t>
  </si>
  <si>
    <t>99.56810194</t>
  </si>
  <si>
    <t>0.4318980637</t>
  </si>
  <si>
    <t>Republic of Korea</t>
  </si>
  <si>
    <t>50823.08594</t>
  </si>
  <si>
    <t>81.63400269</t>
  </si>
  <si>
    <t>99.47274641</t>
  </si>
  <si>
    <t>0.5272535907</t>
  </si>
  <si>
    <t>51269.18359</t>
  </si>
  <si>
    <t>81.41400146</t>
  </si>
  <si>
    <t>99.93139665</t>
  </si>
  <si>
    <t>0.06860335296</t>
  </si>
  <si>
    <t>Republic of Moldova</t>
  </si>
  <si>
    <t>4070.705078</t>
  </si>
  <si>
    <t>42.48999786</t>
  </si>
  <si>
    <t>88.5760319</t>
  </si>
  <si>
    <t>1.485629517</t>
  </si>
  <si>
    <t>9.938338582</t>
  </si>
  <si>
    <t>82.54249075</t>
  </si>
  <si>
    <t>1.470222482</t>
  </si>
  <si>
    <t>15.98728677</t>
  </si>
  <si>
    <t>96.7423994</t>
  </si>
  <si>
    <t>1.506482861</t>
  </si>
  <si>
    <t>1.751117739</t>
  </si>
  <si>
    <t>4033.962891</t>
  </si>
  <si>
    <t>42.84900284</t>
  </si>
  <si>
    <t>90.56996224</t>
  </si>
  <si>
    <t>1.519776762</t>
  </si>
  <si>
    <t>7.910260997</t>
  </si>
  <si>
    <t>85.48103812</t>
  </si>
  <si>
    <t>1.52256302</t>
  </si>
  <si>
    <t>12.99639886</t>
  </si>
  <si>
    <t>97.35744448</t>
  </si>
  <si>
    <t>1.516060408</t>
  </si>
  <si>
    <t>1.126495111</t>
  </si>
  <si>
    <t>Réunion</t>
  </si>
  <si>
    <t>863.3590088</t>
  </si>
  <si>
    <t>99.33900452</t>
  </si>
  <si>
    <t>99.91153019</t>
  </si>
  <si>
    <t>0.0884698141</t>
  </si>
  <si>
    <t>895.3079834</t>
  </si>
  <si>
    <t>99.65900421</t>
  </si>
  <si>
    <t>Romania</t>
  </si>
  <si>
    <t>19925.18164</t>
  </si>
  <si>
    <t>53.88699722</t>
  </si>
  <si>
    <t>19237.68164</t>
  </si>
  <si>
    <t>54.19400024</t>
  </si>
  <si>
    <t>Russian Federation</t>
  </si>
  <si>
    <t>144985.0625</t>
  </si>
  <si>
    <t>74.04999542</t>
  </si>
  <si>
    <t>96.52715543</t>
  </si>
  <si>
    <t>0.6244865344</t>
  </si>
  <si>
    <t>2.848358036</t>
  </si>
  <si>
    <t>90.11010901</t>
  </si>
  <si>
    <t>1.558364042</t>
  </si>
  <si>
    <t>8.331526946</t>
  </si>
  <si>
    <t>98.77593489</t>
  </si>
  <si>
    <t>0.2972194631</t>
  </si>
  <si>
    <t>0.726845642</t>
  </si>
  <si>
    <t>0.2</t>
  </si>
  <si>
    <t>145934.4531</t>
  </si>
  <si>
    <t>74.75400543</t>
  </si>
  <si>
    <t>96.99254807</t>
  </si>
  <si>
    <t>0.6219963766</t>
  </si>
  <si>
    <t>2.38545555</t>
  </si>
  <si>
    <t>91.54410196</t>
  </si>
  <si>
    <t>1.583163513</t>
  </si>
  <si>
    <t>6.872734531</t>
  </si>
  <si>
    <t>98.83259961</t>
  </si>
  <si>
    <t>0.2973899687</t>
  </si>
  <si>
    <t>0.6700104236</t>
  </si>
  <si>
    <t>Rwanda</t>
  </si>
  <si>
    <t>11369.06641</t>
  </si>
  <si>
    <t>17.00399971</t>
  </si>
  <si>
    <t>57.12177402</t>
  </si>
  <si>
    <t>22.15404615</t>
  </si>
  <si>
    <t>13.45013172</t>
  </si>
  <si>
    <t>7.27404811</t>
  </si>
  <si>
    <t>52.35270956</t>
  </si>
  <si>
    <t>24.60883866</t>
  </si>
  <si>
    <t>14.98060354</t>
  </si>
  <si>
    <t>8.057848241</t>
  </si>
  <si>
    <t>80.39943738</t>
  </si>
  <si>
    <t>10.17228262</t>
  </si>
  <si>
    <t>5.979935166</t>
  </si>
  <si>
    <t>3.448344828</t>
  </si>
  <si>
    <t>12952.20898</t>
  </si>
  <si>
    <t>17.43200111</t>
  </si>
  <si>
    <t>60.41450115</t>
  </si>
  <si>
    <t>22.3207193</t>
  </si>
  <si>
    <t>13.15480415</t>
  </si>
  <si>
    <t>4.109975401</t>
  </si>
  <si>
    <t>55.64246823</t>
  </si>
  <si>
    <t>25.08014133</t>
  </si>
  <si>
    <t>14.77886772</t>
  </si>
  <si>
    <t>4.498522714</t>
  </si>
  <si>
    <t>83.0175993</t>
  </si>
  <si>
    <t>9.250506251</t>
  </si>
  <si>
    <t>5.462303057</t>
  </si>
  <si>
    <t>2.269591394</t>
  </si>
  <si>
    <t>Saint Barthelemy</t>
  </si>
  <si>
    <t>9.696</t>
  </si>
  <si>
    <t>99.96491927</t>
  </si>
  <si>
    <t>0.0350807263</t>
  </si>
  <si>
    <t>9.885</t>
  </si>
  <si>
    <t>Saint Helena</t>
  </si>
  <si>
    <t>5.868999958</t>
  </si>
  <si>
    <t>39.5399971</t>
  </si>
  <si>
    <t>98.95</t>
  </si>
  <si>
    <t>1.05</t>
  </si>
  <si>
    <t>6.071000099</t>
  </si>
  <si>
    <t>40.08200073</t>
  </si>
  <si>
    <t>99.1</t>
  </si>
  <si>
    <t>0.9</t>
  </si>
  <si>
    <t>Saint Kitts and Nevis</t>
  </si>
  <si>
    <t>51.20399857</t>
  </si>
  <si>
    <t>30.82700157</t>
  </si>
  <si>
    <t>98.61185413</t>
  </si>
  <si>
    <t>1.388145868</t>
  </si>
  <si>
    <t>52.0359993</t>
  </si>
  <si>
    <t>30.7729969</t>
  </si>
  <si>
    <t>Saint Lucia</t>
  </si>
  <si>
    <t>179.1309967</t>
  </si>
  <si>
    <t>18.51499939</t>
  </si>
  <si>
    <t>95.56809428</t>
  </si>
  <si>
    <t>1.790210415</t>
  </si>
  <si>
    <t>2.641695303</t>
  </si>
  <si>
    <t>95.31226124</t>
  </si>
  <si>
    <t>1.707252381</t>
  </si>
  <si>
    <t>2.980486378</t>
  </si>
  <si>
    <t>96.69403318</t>
  </si>
  <si>
    <t>2.155311103</t>
  </si>
  <si>
    <t>1.150655713</t>
  </si>
  <si>
    <t>183.6289978</t>
  </si>
  <si>
    <t>18.8409996</t>
  </si>
  <si>
    <t>96.88784457</t>
  </si>
  <si>
    <t>1.815652166</t>
  </si>
  <si>
    <t>1.296503269</t>
  </si>
  <si>
    <t>96.81402383</t>
  </si>
  <si>
    <t>1.734152255</t>
  </si>
  <si>
    <t>1.451823918</t>
  </si>
  <si>
    <t>97.20582219</t>
  </si>
  <si>
    <t>2.166718886</t>
  </si>
  <si>
    <t>0.6274589237</t>
  </si>
  <si>
    <t>Saint Martin (French part)</t>
  </si>
  <si>
    <t>35.865</t>
  </si>
  <si>
    <t>99.9997742</t>
  </si>
  <si>
    <t>0.0002258038882</t>
  </si>
  <si>
    <t>38.659</t>
  </si>
  <si>
    <t>99.99927139</t>
  </si>
  <si>
    <t>0.0007286105507</t>
  </si>
  <si>
    <t>Saint Pierre and Miquelon</t>
  </si>
  <si>
    <t>5.992000103</t>
  </si>
  <si>
    <t>89.88899994</t>
  </si>
  <si>
    <t>91.4</t>
  </si>
  <si>
    <t>8.6</t>
  </si>
  <si>
    <t>5.795000076</t>
  </si>
  <si>
    <t>89.96199799</t>
  </si>
  <si>
    <t>Saint Vincent and the Grenadines</t>
  </si>
  <si>
    <t>109.1350021</t>
  </si>
  <si>
    <t>50.96399689</t>
  </si>
  <si>
    <t>95.1452199</t>
  </si>
  <si>
    <t>4.070093703</t>
  </si>
  <si>
    <t>0.784686397</t>
  </si>
  <si>
    <t>2018</t>
  </si>
  <si>
    <t>110.2099991</t>
  </si>
  <si>
    <t>52.19799805</t>
  </si>
  <si>
    <t>4.8547801</t>
  </si>
  <si>
    <t>Samoa</t>
  </si>
  <si>
    <t>193.5099945</t>
  </si>
  <si>
    <t>18.91400146</t>
  </si>
  <si>
    <t>91.32139736</t>
  </si>
  <si>
    <t>6.499281296</t>
  </si>
  <si>
    <t>1.929815904</t>
  </si>
  <si>
    <t>0.2495054413</t>
  </si>
  <si>
    <t>91.38641565</t>
  </si>
  <si>
    <t>6.194005024</t>
  </si>
  <si>
    <t>2.148529534</t>
  </si>
  <si>
    <t>0.2710497959</t>
  </si>
  <si>
    <t>91.04264868</t>
  </si>
  <si>
    <t>7.808027061</t>
  </si>
  <si>
    <t>0.9921814015</t>
  </si>
  <si>
    <t>0.1571428571</t>
  </si>
  <si>
    <t>198.4100037</t>
  </si>
  <si>
    <t>17.88899994</t>
  </si>
  <si>
    <t>91.83772455</t>
  </si>
  <si>
    <t>6.520899952</t>
  </si>
  <si>
    <t>1.418623428</t>
  </si>
  <si>
    <t>0.2227520679</t>
  </si>
  <si>
    <t>91.78032287</t>
  </si>
  <si>
    <t>6.220703339</t>
  </si>
  <si>
    <t>1.72769216</t>
  </si>
  <si>
    <t>0.2712816327</t>
  </si>
  <si>
    <t>92.10119</t>
  </si>
  <si>
    <t>7.89881</t>
  </si>
  <si>
    <t>San Marino</t>
  </si>
  <si>
    <t>33.27000046</t>
  </si>
  <si>
    <t>96.73899841</t>
  </si>
  <si>
    <t>33.93799973</t>
  </si>
  <si>
    <t>97.49900055</t>
  </si>
  <si>
    <t>Sao Tome and Principe</t>
  </si>
  <si>
    <t>199.4389954</t>
  </si>
  <si>
    <t>70.1740036</t>
  </si>
  <si>
    <t>77.12422979</t>
  </si>
  <si>
    <t>18.34430682</t>
  </si>
  <si>
    <t>1.859577121</t>
  </si>
  <si>
    <t>2.671886269</t>
  </si>
  <si>
    <t>71.28271664</t>
  </si>
  <si>
    <t>17.07304495</t>
  </si>
  <si>
    <t>4.118479256</t>
  </si>
  <si>
    <t>7.525759155</t>
  </si>
  <si>
    <t>79.607041</t>
  </si>
  <si>
    <t>18.88462966</t>
  </si>
  <si>
    <t>0.8994805634</t>
  </si>
  <si>
    <t>0.6088487774</t>
  </si>
  <si>
    <t>219.1609955</t>
  </si>
  <si>
    <t>74.35400391</t>
  </si>
  <si>
    <t>78.22645516</t>
  </si>
  <si>
    <t>20.23798298</t>
  </si>
  <si>
    <t>0.4435199284</t>
  </si>
  <si>
    <t>1.09204193</t>
  </si>
  <si>
    <t>74.30061449</t>
  </si>
  <si>
    <t>19.71184258</t>
  </si>
  <si>
    <t>1.729405704</t>
  </si>
  <si>
    <t>4.258137228</t>
  </si>
  <si>
    <t>79.5805429</t>
  </si>
  <si>
    <t>20.4194571</t>
  </si>
  <si>
    <t>Saudi Arabia</t>
  </si>
  <si>
    <t>31717.67578</t>
  </si>
  <si>
    <t>83.18000031</t>
  </si>
  <si>
    <t>99.54802638</t>
  </si>
  <si>
    <t>0.4519736166</t>
  </si>
  <si>
    <t>34813.86719</t>
  </si>
  <si>
    <t>84.28700256</t>
  </si>
  <si>
    <t>Senegal</t>
  </si>
  <si>
    <t>14578.4502</t>
  </si>
  <si>
    <t>45.86200333</t>
  </si>
  <si>
    <t>78.60209362</t>
  </si>
  <si>
    <t>3.392145635</t>
  </si>
  <si>
    <t>17.59491318</t>
  </si>
  <si>
    <t>0.4108475646</t>
  </si>
  <si>
    <t>65.94120156</t>
  </si>
  <si>
    <t>5.253411854</t>
  </si>
  <si>
    <t>28.07919255</t>
  </si>
  <si>
    <t>0.7261940369</t>
  </si>
  <si>
    <t>93.54769776</t>
  </si>
  <si>
    <t>1.195005973</t>
  </si>
  <si>
    <t>5.218700794</t>
  </si>
  <si>
    <t>0.03859547379</t>
  </si>
  <si>
    <t>16743.92969</t>
  </si>
  <si>
    <t>48.12200165</t>
  </si>
  <si>
    <t>84.90523779</t>
  </si>
  <si>
    <t>2.387217509</t>
  </si>
  <si>
    <t>12.60781566</t>
  </si>
  <si>
    <t>0.09972904042</t>
  </si>
  <si>
    <t>75.2429282</t>
  </si>
  <si>
    <t>4.052382433</t>
  </si>
  <si>
    <t>20.51245174</t>
  </si>
  <si>
    <t>0.1922376314</t>
  </si>
  <si>
    <t>95.32170094</t>
  </si>
  <si>
    <t>0.5920836567</t>
  </si>
  <si>
    <t>4.086215402</t>
  </si>
  <si>
    <t>Serbia</t>
  </si>
  <si>
    <t>8876.777344</t>
  </si>
  <si>
    <t>55.69599915</t>
  </si>
  <si>
    <t>93.3864573</t>
  </si>
  <si>
    <t>6.112096052</t>
  </si>
  <si>
    <t>0.4835436344</t>
  </si>
  <si>
    <t>0.01790301579</t>
  </si>
  <si>
    <t>94.72352905</t>
  </si>
  <si>
    <t>4.600438201</t>
  </si>
  <si>
    <t>0.6356232686</t>
  </si>
  <si>
    <t>0.040409478</t>
  </si>
  <si>
    <t>92.32286869</t>
  </si>
  <si>
    <t>7.314561109</t>
  </si>
  <si>
    <t>0.3625701971</t>
  </si>
  <si>
    <t>8737.370117</t>
  </si>
  <si>
    <t>56.44599915</t>
  </si>
  <si>
    <t>95.29552932</t>
  </si>
  <si>
    <t>4.244199279</t>
  </si>
  <si>
    <t>0.4437204778</t>
  </si>
  <si>
    <t>0.01655092647</t>
  </si>
  <si>
    <t>95.84497475</t>
  </si>
  <si>
    <t>3.545864028</t>
  </si>
  <si>
    <t>0.5711602866</t>
  </si>
  <si>
    <t>0.03800093141</t>
  </si>
  <si>
    <t>94.87156989</t>
  </si>
  <si>
    <t>4.783037865</t>
  </si>
  <si>
    <t>0.3453922445</t>
  </si>
  <si>
    <t>Seychelles</t>
  </si>
  <si>
    <t>94.98100281</t>
  </si>
  <si>
    <t>55.40000153</t>
  </si>
  <si>
    <t>96.2508915</t>
  </si>
  <si>
    <t>3.749108502</t>
  </si>
  <si>
    <t>97.74099731</t>
  </si>
  <si>
    <t>57.1190033</t>
  </si>
  <si>
    <t>96.85174689</t>
  </si>
  <si>
    <t>3.148253109</t>
  </si>
  <si>
    <t>Sierra Leone</t>
  </si>
  <si>
    <t>7171.90918</t>
  </si>
  <si>
    <t>40.82899857</t>
  </si>
  <si>
    <t>57.84746516</t>
  </si>
  <si>
    <t>8.196957957</t>
  </si>
  <si>
    <t>15.91095456</t>
  </si>
  <si>
    <t>18.04462232</t>
  </si>
  <si>
    <t>45.52971384</t>
  </si>
  <si>
    <t>4.840494472</t>
  </si>
  <si>
    <t>21.71696143</t>
  </si>
  <si>
    <t>27.91283027</t>
  </si>
  <si>
    <t>75.69883758</t>
  </si>
  <si>
    <t>13.06127759</t>
  </si>
  <si>
    <t>7.496659761</t>
  </si>
  <si>
    <t>3.743225068</t>
  </si>
  <si>
    <t>7976.984863</t>
  </si>
  <si>
    <t>42.92300034</t>
  </si>
  <si>
    <t>63.76628562</t>
  </si>
  <si>
    <t>9.023316357</t>
  </si>
  <si>
    <t>15.5639457</t>
  </si>
  <si>
    <t>11.64645233</t>
  </si>
  <si>
    <t>52.75270267</t>
  </si>
  <si>
    <t>5.221136889</t>
  </si>
  <si>
    <t>23.14294909</t>
  </si>
  <si>
    <t>18.88321135</t>
  </si>
  <si>
    <t>78.41163766</t>
  </si>
  <si>
    <t>14.07927743</t>
  </si>
  <si>
    <t>5.485735437</t>
  </si>
  <si>
    <t>2.023349475</t>
  </si>
  <si>
    <t>Singapore</t>
  </si>
  <si>
    <t>5592.143066</t>
  </si>
  <si>
    <t>5850.342773</t>
  </si>
  <si>
    <t>Sint Maarten (Dutch part)</t>
  </si>
  <si>
    <t>39.96699905</t>
  </si>
  <si>
    <t>95.31117933</t>
  </si>
  <si>
    <t>4.68882067</t>
  </si>
  <si>
    <t>41.44400024</t>
  </si>
  <si>
    <t>Slovakia</t>
  </si>
  <si>
    <t>5435.61377</t>
  </si>
  <si>
    <t>53.88899994</t>
  </si>
  <si>
    <t>99.78718913</t>
  </si>
  <si>
    <t>0.2128108674</t>
  </si>
  <si>
    <t>99.60509406</t>
  </si>
  <si>
    <t>0.3949059374</t>
  </si>
  <si>
    <t>5459.643066</t>
  </si>
  <si>
    <t>53.75999832</t>
  </si>
  <si>
    <t>99.78769858</t>
  </si>
  <si>
    <t>0.2123014241</t>
  </si>
  <si>
    <t>Slovenia</t>
  </si>
  <si>
    <t>2071.198975</t>
  </si>
  <si>
    <t>53.78100586</t>
  </si>
  <si>
    <t>99.5</t>
  </si>
  <si>
    <t>0.5</t>
  </si>
  <si>
    <t>2078.931885</t>
  </si>
  <si>
    <t>55.11800385</t>
  </si>
  <si>
    <t>Solomon Islands</t>
  </si>
  <si>
    <t>603.1329956</t>
  </si>
  <si>
    <t>22.3599987</t>
  </si>
  <si>
    <t>69.32991889</t>
  </si>
  <si>
    <t>5.705267634</t>
  </si>
  <si>
    <t>18.98898125</t>
  </si>
  <si>
    <t>5.975832221</t>
  </si>
  <si>
    <t>63.01213819</t>
  </si>
  <si>
    <t>6.338468203</t>
  </si>
  <si>
    <t>23.28459564</t>
  </si>
  <si>
    <t>7.364797966</t>
  </si>
  <si>
    <t>91.26697205</t>
  </si>
  <si>
    <t>3.506623017</t>
  </si>
  <si>
    <t>4.073439607</t>
  </si>
  <si>
    <t>1.152965328</t>
  </si>
  <si>
    <t>686.8779907</t>
  </si>
  <si>
    <t>24.67000008</t>
  </si>
  <si>
    <t>67.30102554</t>
  </si>
  <si>
    <t>5.79547831</t>
  </si>
  <si>
    <t>21.26784313</t>
  </si>
  <si>
    <t>5.635653025</t>
  </si>
  <si>
    <t>59.40526749</t>
  </si>
  <si>
    <t>6.528523649</t>
  </si>
  <si>
    <t>26.955911</t>
  </si>
  <si>
    <t>7.110297857</t>
  </si>
  <si>
    <t>91.41077689</t>
  </si>
  <si>
    <t>3.557120425</t>
  </si>
  <si>
    <t>3.899286137</t>
  </si>
  <si>
    <t>1.132816553</t>
  </si>
  <si>
    <t>Somalia</t>
  </si>
  <si>
    <t>13797.2041</t>
  </si>
  <si>
    <t>43.24500275</t>
  </si>
  <si>
    <t>48.71115368</t>
  </si>
  <si>
    <t>23.40618776</t>
  </si>
  <si>
    <t>20.15410676</t>
  </si>
  <si>
    <t>7.728551789</t>
  </si>
  <si>
    <t>29.2281926</t>
  </si>
  <si>
    <t>28.88714853</t>
  </si>
  <si>
    <t>28.97578886</t>
  </si>
  <si>
    <t>12.90887001</t>
  </si>
  <si>
    <t>74.28070864</t>
  </si>
  <si>
    <t>16.21294199</t>
  </si>
  <si>
    <t>8.576478283</t>
  </si>
  <si>
    <t>0.9298710922</t>
  </si>
  <si>
    <t>15893.21875</t>
  </si>
  <si>
    <t>46.14099884</t>
  </si>
  <si>
    <t>56.47697339</t>
  </si>
  <si>
    <t>27.70419956</t>
  </si>
  <si>
    <t>13.41704303</t>
  </si>
  <si>
    <t>2.401784021</t>
  </si>
  <si>
    <t>37.07586282</t>
  </si>
  <si>
    <t>36.64324958</t>
  </si>
  <si>
    <t>21.82149546</t>
  </si>
  <si>
    <t>4.459392143</t>
  </si>
  <si>
    <t>79.12330574</t>
  </si>
  <si>
    <t>17.26991556</t>
  </si>
  <si>
    <t>3.606778703</t>
  </si>
  <si>
    <t>South Africa</t>
  </si>
  <si>
    <t>55386.36719</t>
  </si>
  <si>
    <t>64.82800293</t>
  </si>
  <si>
    <t>91.87634387</t>
  </si>
  <si>
    <t>2.803155965</t>
  </si>
  <si>
    <t>2.078820804</t>
  </si>
  <si>
    <t>3.241679359</t>
  </si>
  <si>
    <t>79.03373853</t>
  </si>
  <si>
    <t>6.61766745</t>
  </si>
  <si>
    <t>5.131945818</t>
  </si>
  <si>
    <t>9.216648202</t>
  </si>
  <si>
    <t>98.84401345</t>
  </si>
  <si>
    <t>0.7336182863</t>
  </si>
  <si>
    <t>0.4223682597</t>
  </si>
  <si>
    <t>59308.69141</t>
  </si>
  <si>
    <t>67.35400391</t>
  </si>
  <si>
    <t>93.88505744</t>
  </si>
  <si>
    <t>2.772736186</t>
  </si>
  <si>
    <t>1.410816657</t>
  </si>
  <si>
    <t>1.931389712</t>
  </si>
  <si>
    <t>83.32948118</t>
  </si>
  <si>
    <t>6.977359359</t>
  </si>
  <si>
    <t>3.776999287</t>
  </si>
  <si>
    <t>5.916160173</t>
  </si>
  <si>
    <t>99.00126484</t>
  </si>
  <si>
    <t>0.734785403</t>
  </si>
  <si>
    <t>0.2639497547</t>
  </si>
  <si>
    <t>South Sudan</t>
  </si>
  <si>
    <t>10715.65723</t>
  </si>
  <si>
    <t>18.85199928</t>
  </si>
  <si>
    <t>41.24750946</t>
  </si>
  <si>
    <t>30.69573713</t>
  </si>
  <si>
    <t>13.55439295</t>
  </si>
  <si>
    <t>14.50236045</t>
  </si>
  <si>
    <t>36.72677973</t>
  </si>
  <si>
    <t>32.66279967</t>
  </si>
  <si>
    <t>14.31006538</t>
  </si>
  <si>
    <t>16.30035522</t>
  </si>
  <si>
    <t>60.70687736</t>
  </si>
  <si>
    <t>22.22855395</t>
  </si>
  <si>
    <t>10.30163914</t>
  </si>
  <si>
    <t>6.762929552</t>
  </si>
  <si>
    <t>11193.72852</t>
  </si>
  <si>
    <t>20.1989994</t>
  </si>
  <si>
    <t>40.95092717</t>
  </si>
  <si>
    <t>37.42696287</t>
  </si>
  <si>
    <t>13.53755519</t>
  </si>
  <si>
    <t>8.084554762</t>
  </si>
  <si>
    <t>33.59362881</t>
  </si>
  <si>
    <t>42.16438068</t>
  </si>
  <si>
    <t>14.11109616</t>
  </si>
  <si>
    <t>10.13089435</t>
  </si>
  <si>
    <t>70.01770445</t>
  </si>
  <si>
    <t>18.71066092</t>
  </si>
  <si>
    <t>11.27163464</t>
  </si>
  <si>
    <t>Spain</t>
  </si>
  <si>
    <t>46671.91797</t>
  </si>
  <si>
    <t>79.60199738</t>
  </si>
  <si>
    <t>99.92672046</t>
  </si>
  <si>
    <t>0.07327954441</t>
  </si>
  <si>
    <t>99.90794521</t>
  </si>
  <si>
    <t>0.09205479452</t>
  </si>
  <si>
    <t>46754.78125</t>
  </si>
  <si>
    <t>80.80999756</t>
  </si>
  <si>
    <t>99.92561261</t>
  </si>
  <si>
    <t>0.07438739142</t>
  </si>
  <si>
    <t>Sri Lanka</t>
  </si>
  <si>
    <t>20908.02344</t>
  </si>
  <si>
    <t>18.25600052</t>
  </si>
  <si>
    <t>90.11102857</t>
  </si>
  <si>
    <t>0.9128012935</t>
  </si>
  <si>
    <t>6.761522893</t>
  </si>
  <si>
    <t>2.214647247</t>
  </si>
  <si>
    <t>88.25710614</t>
  </si>
  <si>
    <t>1.016290258</t>
  </si>
  <si>
    <t>8.017356135</t>
  </si>
  <si>
    <t>2.709247463</t>
  </si>
  <si>
    <t>98.41224652</t>
  </si>
  <si>
    <t>0.4494138094</t>
  </si>
  <si>
    <t>1.138339672</t>
  </si>
  <si>
    <t>21413.25</t>
  </si>
  <si>
    <t>18.71299934</t>
  </si>
  <si>
    <t>92.22757937</t>
  </si>
  <si>
    <t>0.5954581495</t>
  </si>
  <si>
    <t>5.348927064</t>
  </si>
  <si>
    <t>1.82803542</t>
  </si>
  <si>
    <t>90.5374357</t>
  </si>
  <si>
    <t>0.7032099038</t>
  </si>
  <si>
    <t>6.510488612</t>
  </si>
  <si>
    <t>2.248865782</t>
  </si>
  <si>
    <t>99.56938019</t>
  </si>
  <si>
    <t>0.1273977901</t>
  </si>
  <si>
    <t>0.3032220202</t>
  </si>
  <si>
    <t>Sudan</t>
  </si>
  <si>
    <t>38902.94922</t>
  </si>
  <si>
    <t>33.89400101</t>
  </si>
  <si>
    <t>58.95025332</t>
  </si>
  <si>
    <t>26.11181598</t>
  </si>
  <si>
    <t>5.635847128</t>
  </si>
  <si>
    <t>9.302083569</t>
  </si>
  <si>
    <t>51.70743773</t>
  </si>
  <si>
    <t>26.68778964</t>
  </si>
  <si>
    <t>8.122567512</t>
  </si>
  <si>
    <t>13.48220513</t>
  </si>
  <si>
    <t>73.07645757</t>
  </si>
  <si>
    <t>24.98845154</t>
  </si>
  <si>
    <t>0.7858106217</t>
  </si>
  <si>
    <t>1.14928027</t>
  </si>
  <si>
    <t>43849.26953</t>
  </si>
  <si>
    <t>35.25299835</t>
  </si>
  <si>
    <t>60.4486756</t>
  </si>
  <si>
    <t>26.67001975</t>
  </si>
  <si>
    <t>3.650217875</t>
  </si>
  <si>
    <t>9.231086774</t>
  </si>
  <si>
    <t>53.19902707</t>
  </si>
  <si>
    <t>27.45764451</t>
  </si>
  <si>
    <t>5.637660008</t>
  </si>
  <si>
    <t>13.70566842</t>
  </si>
  <si>
    <t>73.76365956</t>
  </si>
  <si>
    <t>25.22343986</t>
  </si>
  <si>
    <t>1.012900581</t>
  </si>
  <si>
    <t>Suriname</t>
  </si>
  <si>
    <t>559.1359863</t>
  </si>
  <si>
    <t>66.05599976</t>
  </si>
  <si>
    <t>95.74769217</t>
  </si>
  <si>
    <t>0.8828013983</t>
  </si>
  <si>
    <t>1.013834976</t>
  </si>
  <si>
    <t>2.35567146</t>
  </si>
  <si>
    <t>90.57961632</t>
  </si>
  <si>
    <t>1.285032142</t>
  </si>
  <si>
    <t>1.200506574</t>
  </si>
  <si>
    <t>6.934844965</t>
  </si>
  <si>
    <t>98.4033997</t>
  </si>
  <si>
    <t>0.6761083333</t>
  </si>
  <si>
    <t>0.9179065142</t>
  </si>
  <si>
    <t>0.002585454545</t>
  </si>
  <si>
    <t>586.6339722</t>
  </si>
  <si>
    <t>66.14900208</t>
  </si>
  <si>
    <t>97.98963167</t>
  </si>
  <si>
    <t>1.067246941</t>
  </si>
  <si>
    <t>0.3793365073</t>
  </si>
  <si>
    <t>0.563784884</t>
  </si>
  <si>
    <t>96.57441263</t>
  </si>
  <si>
    <t>1.60029586</t>
  </si>
  <si>
    <t>0.1598017947</t>
  </si>
  <si>
    <t>1.66548972</t>
  </si>
  <si>
    <t>98.71385387</t>
  </si>
  <si>
    <t>0.7944652371</t>
  </si>
  <si>
    <t>0.4916808925</t>
  </si>
  <si>
    <t>Sweden</t>
  </si>
  <si>
    <t>9764.949219</t>
  </si>
  <si>
    <t>86.5530014</t>
  </si>
  <si>
    <t>99.78123103</t>
  </si>
  <si>
    <t>0.2187689729</t>
  </si>
  <si>
    <t>99.54998653</t>
  </si>
  <si>
    <t>0.4500134657</t>
  </si>
  <si>
    <t>99.81716039</t>
  </si>
  <si>
    <t>0.1828396148</t>
  </si>
  <si>
    <t>10099.26953</t>
  </si>
  <si>
    <t>87.97699738</t>
  </si>
  <si>
    <t>99.82686763</t>
  </si>
  <si>
    <t>0.1731323735</t>
  </si>
  <si>
    <t>99.71937474</t>
  </si>
  <si>
    <t>0.2806252626</t>
  </si>
  <si>
    <t>99.84155768</t>
  </si>
  <si>
    <t>0.1584423157</t>
  </si>
  <si>
    <t>Switzerland</t>
  </si>
  <si>
    <t>8296.775391</t>
  </si>
  <si>
    <t>73.71800232</t>
  </si>
  <si>
    <t>8654.618164</t>
  </si>
  <si>
    <t>73.91500092</t>
  </si>
  <si>
    <t>100.0000028</t>
  </si>
  <si>
    <t>Syrian Arab Republic</t>
  </si>
  <si>
    <t>17997.41016</t>
  </si>
  <si>
    <t>52.16799927</t>
  </si>
  <si>
    <t>93.50961148</t>
  </si>
  <si>
    <t>5.968083628</t>
  </si>
  <si>
    <t>0.5223048883</t>
  </si>
  <si>
    <t>91.3857051</t>
  </si>
  <si>
    <t>7.857323656</t>
  </si>
  <si>
    <t>0.7569712439</t>
  </si>
  <si>
    <t>95.45698719</t>
  </si>
  <si>
    <t>4.235869737</t>
  </si>
  <si>
    <t>0.3071430695</t>
  </si>
  <si>
    <t>17500.65625</t>
  </si>
  <si>
    <t>55.47500229</t>
  </si>
  <si>
    <t>93.92585718</t>
  </si>
  <si>
    <t>5.873730768</t>
  </si>
  <si>
    <t>0.2004120542</t>
  </si>
  <si>
    <t>92.082745</t>
  </si>
  <si>
    <t>7.917255</t>
  </si>
  <si>
    <t>95.40516436</t>
  </si>
  <si>
    <t>4.233570117</t>
  </si>
  <si>
    <t>0.361265525</t>
  </si>
  <si>
    <t>Tajikistan</t>
  </si>
  <si>
    <t>8454.018555</t>
  </si>
  <si>
    <t>26.74200058</t>
  </si>
  <si>
    <t>76.23949551</t>
  </si>
  <si>
    <t>3.050011091</t>
  </si>
  <si>
    <t>3.944733748</t>
  </si>
  <si>
    <t>16.76575965</t>
  </si>
  <si>
    <t>69.55218206</t>
  </si>
  <si>
    <t>3.681021887</t>
  </si>
  <si>
    <t>4.857485512</t>
  </si>
  <si>
    <t>21.90931054</t>
  </si>
  <si>
    <t>94.55895539</t>
  </si>
  <si>
    <t>1.321396987</t>
  </si>
  <si>
    <t>1.444318955</t>
  </si>
  <si>
    <t>2.675328663</t>
  </si>
  <si>
    <t>9537.641602</t>
  </si>
  <si>
    <t>27.50599861</t>
  </si>
  <si>
    <t>81.85241502</t>
  </si>
  <si>
    <t>2.568363935</t>
  </si>
  <si>
    <t>3.421857005</t>
  </si>
  <si>
    <t>12.15736404</t>
  </si>
  <si>
    <t>76.6435992</t>
  </si>
  <si>
    <t>3.207143928</t>
  </si>
  <si>
    <t>4.140706948</t>
  </si>
  <si>
    <t>16.00854992</t>
  </si>
  <si>
    <t>95.58062386</t>
  </si>
  <si>
    <t>0.8848144763</t>
  </si>
  <si>
    <t>1.527268323</t>
  </si>
  <si>
    <t>2.007293339</t>
  </si>
  <si>
    <t>Thailand</t>
  </si>
  <si>
    <t>68714.51563</t>
  </si>
  <si>
    <t>47.69400406</t>
  </si>
  <si>
    <t>99.25917058</t>
  </si>
  <si>
    <t>0.2176525852</t>
  </si>
  <si>
    <t>0.1822513237</t>
  </si>
  <si>
    <t>0.3409255143</t>
  </si>
  <si>
    <t>98.87951671</t>
  </si>
  <si>
    <t>0.2456716052</t>
  </si>
  <si>
    <t>0.2230211905</t>
  </si>
  <si>
    <t>0.65179049</t>
  </si>
  <si>
    <t>99.67553684</t>
  </si>
  <si>
    <t>0.1869241354</t>
  </si>
  <si>
    <t>0.1375390245</t>
  </si>
  <si>
    <t>69799.97656</t>
  </si>
  <si>
    <t>51.43000031</t>
  </si>
  <si>
    <t>Timor-Leste</t>
  </si>
  <si>
    <t>1196.293945</t>
  </si>
  <si>
    <t>29.48999977</t>
  </si>
  <si>
    <t>75.25010371</t>
  </si>
  <si>
    <t>3.486316247</t>
  </si>
  <si>
    <t>16.46074672</t>
  </si>
  <si>
    <t>4.802833323</t>
  </si>
  <si>
    <t>68.95938975</t>
  </si>
  <si>
    <t>4.20850771</t>
  </si>
  <si>
    <t>20.19524109</t>
  </si>
  <si>
    <t>6.63686145</t>
  </si>
  <si>
    <t>90.29108123</t>
  </si>
  <si>
    <t>1.759571234</t>
  </si>
  <si>
    <t>7.5316383</t>
  </si>
  <si>
    <t>0.4177092401</t>
  </si>
  <si>
    <t>1318.442017</t>
  </si>
  <si>
    <t>31.31999969</t>
  </si>
  <si>
    <t>85.4956012</t>
  </si>
  <si>
    <t>1.88586597</t>
  </si>
  <si>
    <t>8.360029397</t>
  </si>
  <si>
    <t>4.258503433</t>
  </si>
  <si>
    <t>80.48779562</t>
  </si>
  <si>
    <t>2.049364675</t>
  </si>
  <si>
    <t>11.26233968</t>
  </si>
  <si>
    <t>6.200500018</t>
  </si>
  <si>
    <t>96.47695792</t>
  </si>
  <si>
    <t>1.527338152</t>
  </si>
  <si>
    <t>1.995703929</t>
  </si>
  <si>
    <t>Togo</t>
  </si>
  <si>
    <t>7323.162109</t>
  </si>
  <si>
    <t>40.09999847</t>
  </si>
  <si>
    <t>63.63712635</t>
  </si>
  <si>
    <t>5.665767965</t>
  </si>
  <si>
    <t>17.17891539</t>
  </si>
  <si>
    <t>13.51819029</t>
  </si>
  <si>
    <t>47.24218328</t>
  </si>
  <si>
    <t>7.334652284</t>
  </si>
  <si>
    <t>23.47003618</t>
  </si>
  <si>
    <t>21.95312825</t>
  </si>
  <si>
    <t>88.1273297</t>
  </si>
  <si>
    <t>3.172845838</t>
  </si>
  <si>
    <t>7.781455041</t>
  </si>
  <si>
    <t>0.9183694177</t>
  </si>
  <si>
    <t>8278.737305</t>
  </si>
  <si>
    <t>42.79999924</t>
  </si>
  <si>
    <t>68.58372009</t>
  </si>
  <si>
    <t>6.065434765</t>
  </si>
  <si>
    <t>14.16432245</t>
  </si>
  <si>
    <t>11.18652269</t>
  </si>
  <si>
    <t>52.11755275</t>
  </si>
  <si>
    <t>8.187542019</t>
  </si>
  <si>
    <t>20.7910842</t>
  </si>
  <si>
    <t>18.90382103</t>
  </si>
  <si>
    <t>90.58991001</t>
  </si>
  <si>
    <t>3.229348056</t>
  </si>
  <si>
    <t>5.307990528</t>
  </si>
  <si>
    <t>0.8727514049</t>
  </si>
  <si>
    <t>Tokelau</t>
  </si>
  <si>
    <t>1.246999979</t>
  </si>
  <si>
    <t>99.457396</t>
  </si>
  <si>
    <t>0.542604</t>
  </si>
  <si>
    <t>1.350000024</t>
  </si>
  <si>
    <t>99.70767665</t>
  </si>
  <si>
    <t>0.2923233459</t>
  </si>
  <si>
    <t>Tonga</t>
  </si>
  <si>
    <t>100.7799988</t>
  </si>
  <si>
    <t>23.27499962</t>
  </si>
  <si>
    <t>98.54970535</t>
  </si>
  <si>
    <t>0.8789821223</t>
  </si>
  <si>
    <t>0.5713125286</t>
  </si>
  <si>
    <t>98.39304823</t>
  </si>
  <si>
    <t>1.102319124</t>
  </si>
  <si>
    <t>0.5046326475</t>
  </si>
  <si>
    <t>99.06611056</t>
  </si>
  <si>
    <t>0.142761567</t>
  </si>
  <si>
    <t>0.7911278728</t>
  </si>
  <si>
    <t>105.6969986</t>
  </si>
  <si>
    <t>23.09899902</t>
  </si>
  <si>
    <t>98.73108083</t>
  </si>
  <si>
    <t>0.8814972962</t>
  </si>
  <si>
    <t>0.3874218777</t>
  </si>
  <si>
    <t>98.46807854</t>
  </si>
  <si>
    <t>1.103159706</t>
  </si>
  <si>
    <t>0.4287617551</t>
  </si>
  <si>
    <t>99.60665819</t>
  </si>
  <si>
    <t>0.143540536</t>
  </si>
  <si>
    <t>0.2498012758</t>
  </si>
  <si>
    <t>Trinidad and Tobago</t>
  </si>
  <si>
    <t>1370.332031</t>
  </si>
  <si>
    <t>53.31900024</t>
  </si>
  <si>
    <t>98.13617765</t>
  </si>
  <si>
    <t>1.116422256</t>
  </si>
  <si>
    <t>0.5692819234</t>
  </si>
  <si>
    <t>0.1781181726</t>
  </si>
  <si>
    <t>1399.490967</t>
  </si>
  <si>
    <t>53.2140007</t>
  </si>
  <si>
    <t>98.87517077</t>
  </si>
  <si>
    <t>1.124829231</t>
  </si>
  <si>
    <t>Tunisia</t>
  </si>
  <si>
    <t>11179.95117</t>
  </si>
  <si>
    <t>68.05599976</t>
  </si>
  <si>
    <t>94.8454551</t>
  </si>
  <si>
    <t>2.900100393</t>
  </si>
  <si>
    <t>2.179103077</t>
  </si>
  <si>
    <t>0.07534142511</t>
  </si>
  <si>
    <t>85.59067297</t>
  </si>
  <si>
    <t>7.6364837</t>
  </si>
  <si>
    <t>6.53698864</t>
  </si>
  <si>
    <t>0.2358546907</t>
  </si>
  <si>
    <t>99.18944794</t>
  </si>
  <si>
    <t>0.6769453984</t>
  </si>
  <si>
    <t>0.1336066664</t>
  </si>
  <si>
    <t>11818.61816</t>
  </si>
  <si>
    <t>69.56800079</t>
  </si>
  <si>
    <t>97.54330899</t>
  </si>
  <si>
    <t>1.63135067</t>
  </si>
  <si>
    <t>0.8253403378</t>
  </si>
  <si>
    <t>93.93623193</t>
  </si>
  <si>
    <t>3.351687357</t>
  </si>
  <si>
    <t>2.71208071</t>
  </si>
  <si>
    <t>99.12119763</t>
  </si>
  <si>
    <t>0.8788023684</t>
  </si>
  <si>
    <t>Turkey</t>
  </si>
  <si>
    <t>78529.41406</t>
  </si>
  <si>
    <t>73.61100006</t>
  </si>
  <si>
    <t>96.25615912</t>
  </si>
  <si>
    <t>2.026747602</t>
  </si>
  <si>
    <t>1.518870713</t>
  </si>
  <si>
    <t>0.1982225671</t>
  </si>
  <si>
    <t>94.20388299</t>
  </si>
  <si>
    <t>2.633656944</t>
  </si>
  <si>
    <t>2.740460064</t>
  </si>
  <si>
    <t>0.422</t>
  </si>
  <si>
    <t>96.99188504</t>
  </si>
  <si>
    <t>1.809175058</t>
  </si>
  <si>
    <t>1.080939898</t>
  </si>
  <si>
    <t>0.118</t>
  </si>
  <si>
    <t>84339.07031</t>
  </si>
  <si>
    <t>76.10500336</t>
  </si>
  <si>
    <t>97.01426916</t>
  </si>
  <si>
    <t>2.023078075</t>
  </si>
  <si>
    <t>0.7376749545</t>
  </si>
  <si>
    <t>0.2249778093</t>
  </si>
  <si>
    <t>96.02516977</t>
  </si>
  <si>
    <t>2.684574639</t>
  </si>
  <si>
    <t>0.7882555911</t>
  </si>
  <si>
    <t>0.502</t>
  </si>
  <si>
    <t>97.32481783</t>
  </si>
  <si>
    <t>1.815385203</t>
  </si>
  <si>
    <t>0.7217969634</t>
  </si>
  <si>
    <t>0.138</t>
  </si>
  <si>
    <t>Turkmenistan</t>
  </si>
  <si>
    <t>5565.283203</t>
  </si>
  <si>
    <t>50.31700134</t>
  </si>
  <si>
    <t>97.65894431</t>
  </si>
  <si>
    <t>0.9479150547</t>
  </si>
  <si>
    <t>0.247750032</t>
  </si>
  <si>
    <t>1.145390606</t>
  </si>
  <si>
    <t>96.21978316</t>
  </si>
  <si>
    <t>1.000954429</t>
  </si>
  <si>
    <t>0.473864865</t>
  </si>
  <si>
    <t>2.305397551</t>
  </si>
  <si>
    <t>99.07997172</t>
  </si>
  <si>
    <t>0.895543988</t>
  </si>
  <si>
    <t>0.0244842949</t>
  </si>
  <si>
    <t>6031.187012</t>
  </si>
  <si>
    <t>52.51600266</t>
  </si>
  <si>
    <t>Turks and Caicos Islands</t>
  </si>
  <si>
    <t>35.97900009</t>
  </si>
  <si>
    <t>92.19499207</t>
  </si>
  <si>
    <t>94.31818182</t>
  </si>
  <si>
    <t>5.681818182</t>
  </si>
  <si>
    <t>37.66699982</t>
  </si>
  <si>
    <t>93.09799957</t>
  </si>
  <si>
    <t>Tuvalu</t>
  </si>
  <si>
    <t>11.09899998</t>
  </si>
  <si>
    <t>59.72999954</t>
  </si>
  <si>
    <t>11.79199982</t>
  </si>
  <si>
    <t>64.01399994</t>
  </si>
  <si>
    <t>Uganda</t>
  </si>
  <si>
    <t>38225.44531</t>
  </si>
  <si>
    <t>22.05999947</t>
  </si>
  <si>
    <t>47.84155836</t>
  </si>
  <si>
    <t>30.09540377</t>
  </si>
  <si>
    <t>15.10676845</t>
  </si>
  <si>
    <t>6.95626942</t>
  </si>
  <si>
    <t>39.71700313</t>
  </si>
  <si>
    <t>34.1765633</t>
  </si>
  <si>
    <t>17.51911722</t>
  </si>
  <si>
    <t>8.587316348</t>
  </si>
  <si>
    <t>76.54635609</t>
  </si>
  <si>
    <t>15.67629339</t>
  </si>
  <si>
    <t>6.58371928</t>
  </si>
  <si>
    <t>1.193631242</t>
  </si>
  <si>
    <t>45741</t>
  </si>
  <si>
    <t>24.95400047</t>
  </si>
  <si>
    <t>55.85504921</t>
  </si>
  <si>
    <t>27.28286</t>
  </si>
  <si>
    <t>12.16590654</t>
  </si>
  <si>
    <t>4.696184252</t>
  </si>
  <si>
    <t>48.23118958</t>
  </si>
  <si>
    <t>31.78469426</t>
  </si>
  <si>
    <t>14.07616061</t>
  </si>
  <si>
    <t>5.907955546</t>
  </si>
  <si>
    <t>78.7828518</t>
  </si>
  <si>
    <t>13.74416783</t>
  </si>
  <si>
    <t>6.421044133</t>
  </si>
  <si>
    <t>1.051936238</t>
  </si>
  <si>
    <t>Ukraine</t>
  </si>
  <si>
    <t>44921.63672</t>
  </si>
  <si>
    <t>69.06100464</t>
  </si>
  <si>
    <t>93.65690669</t>
  </si>
  <si>
    <t>5.630873723</t>
  </si>
  <si>
    <t>0.4364563488</t>
  </si>
  <si>
    <t>0.2757632395</t>
  </si>
  <si>
    <t>98.84311161</t>
  </si>
  <si>
    <t>0.944405312</t>
  </si>
  <si>
    <t>0.2124830817</t>
  </si>
  <si>
    <t>91.33350853</t>
  </si>
  <si>
    <t>8.153478277</t>
  </si>
  <si>
    <t>0.2089007556</t>
  </si>
  <si>
    <t>0.3041124414</t>
  </si>
  <si>
    <t>43733.75781</t>
  </si>
  <si>
    <t>69.60800171</t>
  </si>
  <si>
    <t>93.92828195</t>
  </si>
  <si>
    <t>5.671978717</t>
  </si>
  <si>
    <t>0.07590450129</t>
  </si>
  <si>
    <t>0.323834836</t>
  </si>
  <si>
    <t>91.27727011</t>
  </si>
  <si>
    <t>8.14845779</t>
  </si>
  <si>
    <t>0.1090456533</t>
  </si>
  <si>
    <t>0.4652264446</t>
  </si>
  <si>
    <t>United Arab Emirates</t>
  </si>
  <si>
    <t>9262.896484</t>
  </si>
  <si>
    <t>85.6740036</t>
  </si>
  <si>
    <t>99.97133247</t>
  </si>
  <si>
    <t>0.02866753431</t>
  </si>
  <si>
    <t>9890.400391</t>
  </si>
  <si>
    <t>87.04799652</t>
  </si>
  <si>
    <t>99.965596</t>
  </si>
  <si>
    <t>0.034404</t>
  </si>
  <si>
    <t>United Kingdom</t>
  </si>
  <si>
    <t>65860.14844</t>
  </si>
  <si>
    <t>82.62599945</t>
  </si>
  <si>
    <t>67886.00781</t>
  </si>
  <si>
    <t>83.90299988</t>
  </si>
  <si>
    <t>0.00000143853282</t>
  </si>
  <si>
    <t>United Republic of Tanzania</t>
  </si>
  <si>
    <t>51482.63672</t>
  </si>
  <si>
    <t>31.61700058</t>
  </si>
  <si>
    <t>52.96379459</t>
  </si>
  <si>
    <t>11.30893693</t>
  </si>
  <si>
    <t>21.38524788</t>
  </si>
  <si>
    <t>14.3420206</t>
  </si>
  <si>
    <t>38.86342456</t>
  </si>
  <si>
    <t>13.19289824</t>
  </si>
  <si>
    <t>28.1932841</t>
  </si>
  <si>
    <t>19.75039311</t>
  </si>
  <si>
    <t>83.4608554</t>
  </si>
  <si>
    <t>7.234201128</t>
  </si>
  <si>
    <t>6.6604503</t>
  </si>
  <si>
    <t>2.644493171</t>
  </si>
  <si>
    <t>59734.21484</t>
  </si>
  <si>
    <t>35.22700119</t>
  </si>
  <si>
    <t>60.71679759</t>
  </si>
  <si>
    <t>11.29007067</t>
  </si>
  <si>
    <t>14.51775136</t>
  </si>
  <si>
    <t>13.47538038</t>
  </si>
  <si>
    <t>45.44696534</t>
  </si>
  <si>
    <t>13.98368881</t>
  </si>
  <si>
    <t>21.21996133</t>
  </si>
  <si>
    <t>19.34938452</t>
  </si>
  <si>
    <t>88.7939249</t>
  </si>
  <si>
    <t>6.337231166</t>
  </si>
  <si>
    <t>2.194178786</t>
  </si>
  <si>
    <t>2.674665152</t>
  </si>
  <si>
    <t>United States of America</t>
  </si>
  <si>
    <t>320878.3125</t>
  </si>
  <si>
    <t>81.67100525</t>
  </si>
  <si>
    <t>99.44715776</t>
  </si>
  <si>
    <t>0.5528422372</t>
  </si>
  <si>
    <t>97.78011851</t>
  </si>
  <si>
    <t>2.219881485</t>
  </si>
  <si>
    <t>99.82127981</t>
  </si>
  <si>
    <t>0.1787201944</t>
  </si>
  <si>
    <t>331002.6563</t>
  </si>
  <si>
    <t>82.66400146</t>
  </si>
  <si>
    <t>99.88352668</t>
  </si>
  <si>
    <t>0.1164733182</t>
  </si>
  <si>
    <t>99.67078734</t>
  </si>
  <si>
    <t>0.3292126628</t>
  </si>
  <si>
    <t>99.92814447</t>
  </si>
  <si>
    <t>0.0718555296</t>
  </si>
  <si>
    <t>United States Virgin Islands</t>
  </si>
  <si>
    <t>104.9499969</t>
  </si>
  <si>
    <t>95.34999847</t>
  </si>
  <si>
    <t>98.71827281</t>
  </si>
  <si>
    <t>1.281727186</t>
  </si>
  <si>
    <t>104.4229965</t>
  </si>
  <si>
    <t>95.93900299</t>
  </si>
  <si>
    <t>98.71826738</t>
  </si>
  <si>
    <t>1.281732624</t>
  </si>
  <si>
    <t>Uruguay</t>
  </si>
  <si>
    <t>3412.012939</t>
  </si>
  <si>
    <t>95.04499817</t>
  </si>
  <si>
    <t>99.13139756</t>
  </si>
  <si>
    <t>0.5381047353</t>
  </si>
  <si>
    <t>0.307497473</t>
  </si>
  <si>
    <t>0.02300023019</t>
  </si>
  <si>
    <t>91.49584384</t>
  </si>
  <si>
    <t>4.511550681</t>
  </si>
  <si>
    <t>3.528423211</t>
  </si>
  <si>
    <t>0.464182271</t>
  </si>
  <si>
    <t>99.52946198</t>
  </si>
  <si>
    <t>0.3309562908</t>
  </si>
  <si>
    <t>0.139581727</t>
  </si>
  <si>
    <t>3473.727051</t>
  </si>
  <si>
    <t>95.51499939</t>
  </si>
  <si>
    <t>99.49575756</t>
  </si>
  <si>
    <t>0.5042424412</t>
  </si>
  <si>
    <t>95.30083</t>
  </si>
  <si>
    <t>4.69917</t>
  </si>
  <si>
    <t>99.69273444</t>
  </si>
  <si>
    <t>0.3072655617</t>
  </si>
  <si>
    <t>Uzbekistan</t>
  </si>
  <si>
    <t>30929.55664</t>
  </si>
  <si>
    <t>50.75</t>
  </si>
  <si>
    <t>97.52857826</t>
  </si>
  <si>
    <t>2.471421736</t>
  </si>
  <si>
    <t>95.64239155</t>
  </si>
  <si>
    <t>4.357608451</t>
  </si>
  <si>
    <t>99.35901562</t>
  </si>
  <si>
    <t>0.6409843843</t>
  </si>
  <si>
    <t>33469.19922</t>
  </si>
  <si>
    <t>50.41599655</t>
  </si>
  <si>
    <t>97.82878485</t>
  </si>
  <si>
    <t>0.22384422</t>
  </si>
  <si>
    <t>1.947370925</t>
  </si>
  <si>
    <t>96.07258236</t>
  </si>
  <si>
    <t>3.927417637</t>
  </si>
  <si>
    <t>99.55600556</t>
  </si>
  <si>
    <t>0.4439944434</t>
  </si>
  <si>
    <t>Vanuatu</t>
  </si>
  <si>
    <t>271.1279907</t>
  </si>
  <si>
    <t>24.96100235</t>
  </si>
  <si>
    <t>89.98817649</t>
  </si>
  <si>
    <t>1.05094321</t>
  </si>
  <si>
    <t>1.545004807</t>
  </si>
  <si>
    <t>7.415875488</t>
  </si>
  <si>
    <t>86.97805066</t>
  </si>
  <si>
    <t>1.234982464</t>
  </si>
  <si>
    <t>1.904272063</t>
  </si>
  <si>
    <t>9.882694813</t>
  </si>
  <si>
    <t>99.03735599</t>
  </si>
  <si>
    <t>0.4976751557</t>
  </si>
  <si>
    <t>0.4649688531</t>
  </si>
  <si>
    <t>307.1499939</t>
  </si>
  <si>
    <t>25.52500153</t>
  </si>
  <si>
    <t>91.23119075</t>
  </si>
  <si>
    <t>1.06238505</t>
  </si>
  <si>
    <t>7.706424202</t>
  </si>
  <si>
    <t>88.39720123</t>
  </si>
  <si>
    <t>1.255132675</t>
  </si>
  <si>
    <t>10.3476661</t>
  </si>
  <si>
    <t>Venezuela (Bolivarian Republic of)</t>
  </si>
  <si>
    <t>30081.82617</t>
  </si>
  <si>
    <t>88.15399933</t>
  </si>
  <si>
    <t>94.57127501</t>
  </si>
  <si>
    <t>0.4752325377</t>
  </si>
  <si>
    <t>3.575264261</t>
  </si>
  <si>
    <t>1.378228192</t>
  </si>
  <si>
    <t>28435.94336</t>
  </si>
  <si>
    <t>88.27899933</t>
  </si>
  <si>
    <t>93.68580071</t>
  </si>
  <si>
    <t>0.4707829181</t>
  </si>
  <si>
    <t>5.843416373</t>
  </si>
  <si>
    <t>Viet Nam</t>
  </si>
  <si>
    <t>92677.07813</t>
  </si>
  <si>
    <t>33.80900192</t>
  </si>
  <si>
    <t>93.32806058</t>
  </si>
  <si>
    <t>0.05207183785</t>
  </si>
  <si>
    <t>6.163618036</t>
  </si>
  <si>
    <t>0.4562495463</t>
  </si>
  <si>
    <t>90.83306799</t>
  </si>
  <si>
    <t>8.477639565</t>
  </si>
  <si>
    <t>0.6892924429</t>
  </si>
  <si>
    <t>98.21274352</t>
  </si>
  <si>
    <t>0.1540176812</t>
  </si>
  <si>
    <t>1.633238796</t>
  </si>
  <si>
    <t>97338.58594</t>
  </si>
  <si>
    <t>37.34000015</t>
  </si>
  <si>
    <t>96.88435687</t>
  </si>
  <si>
    <t>3.115643126</t>
  </si>
  <si>
    <t>95.51453844</t>
  </si>
  <si>
    <t>4.48546156</t>
  </si>
  <si>
    <t>99.18304001</t>
  </si>
  <si>
    <t>0.816959987</t>
  </si>
  <si>
    <t>Wallis and Futuna Islands</t>
  </si>
  <si>
    <t>12.26200008</t>
  </si>
  <si>
    <t>99.32138153</t>
  </si>
  <si>
    <t>0.6786184741</t>
  </si>
  <si>
    <t>11.24600029</t>
  </si>
  <si>
    <t>99.14328736</t>
  </si>
  <si>
    <t>0.856712639</t>
  </si>
  <si>
    <t>West Bank and Gaza Strip</t>
  </si>
  <si>
    <t>4529.160156</t>
  </si>
  <si>
    <t>75.36799622</t>
  </si>
  <si>
    <t>96.37985671</t>
  </si>
  <si>
    <t>0.5875346644</t>
  </si>
  <si>
    <t>3.032608622</t>
  </si>
  <si>
    <t>95.38114235</t>
  </si>
  <si>
    <t>0.9927312092</t>
  </si>
  <si>
    <t>3.626126441</t>
  </si>
  <si>
    <t>96.70625962</t>
  </si>
  <si>
    <t>0.4551070803</t>
  </si>
  <si>
    <t>2.838633298</t>
  </si>
  <si>
    <t>5101.416016</t>
  </si>
  <si>
    <t>76.71899414</t>
  </si>
  <si>
    <t>97.88039722</t>
  </si>
  <si>
    <t>1.029979486</t>
  </si>
  <si>
    <t>1.089623295</t>
  </si>
  <si>
    <t>98.71555642</t>
  </si>
  <si>
    <t>0.3174006273</t>
  </si>
  <si>
    <t>0.9670429576</t>
  </si>
  <si>
    <t>97.62696443</t>
  </si>
  <si>
    <t>1.246217358</t>
  </si>
  <si>
    <t>1.126818208</t>
  </si>
  <si>
    <t>Yemen</t>
  </si>
  <si>
    <t>26497.88086</t>
  </si>
  <si>
    <t>34.77700043</t>
  </si>
  <si>
    <t>55.77886863</t>
  </si>
  <si>
    <t>26.0356066</t>
  </si>
  <si>
    <t>14.70974567</t>
  </si>
  <si>
    <t>3.475779098</t>
  </si>
  <si>
    <t>44.95826816</t>
  </si>
  <si>
    <t>28.79461102</t>
  </si>
  <si>
    <t>21.10381293</t>
  </si>
  <si>
    <t>5.143307896</t>
  </si>
  <si>
    <t>76.0725119</t>
  </si>
  <si>
    <t>20.86119401</t>
  </si>
  <si>
    <t>2.717904704</t>
  </si>
  <si>
    <t>0.3483893924</t>
  </si>
  <si>
    <t>29825.96875</t>
  </si>
  <si>
    <t>37.90799713</t>
  </si>
  <si>
    <t>60.66356984</t>
  </si>
  <si>
    <t>28.9627418</t>
  </si>
  <si>
    <t>7.77785276</t>
  </si>
  <si>
    <t>2.595835594</t>
  </si>
  <si>
    <t>50.68133437</t>
  </si>
  <si>
    <t>33.53021373</t>
  </si>
  <si>
    <t>11.60782393</t>
  </si>
  <si>
    <t>4.180627978</t>
  </si>
  <si>
    <t>77.01412934</t>
  </si>
  <si>
    <t>21.48137937</t>
  </si>
  <si>
    <t>1.504491286</t>
  </si>
  <si>
    <t>Zambia</t>
  </si>
  <si>
    <t>15879.37012</t>
  </si>
  <si>
    <t>41.9070015</t>
  </si>
  <si>
    <t>61.33874628</t>
  </si>
  <si>
    <t>5.65391723</t>
  </si>
  <si>
    <t>23.3359001</t>
  </si>
  <si>
    <t>9.671436392</t>
  </si>
  <si>
    <t>43.61683432</t>
  </si>
  <si>
    <t>7.210864868</t>
  </si>
  <si>
    <t>33.25721949</t>
  </si>
  <si>
    <t>15.91508132</t>
  </si>
  <si>
    <t>85.90549729</t>
  </si>
  <si>
    <t>3.495619671</t>
  </si>
  <si>
    <t>9.582613847</t>
  </si>
  <si>
    <t>1.016269193</t>
  </si>
  <si>
    <t>18383.95508</t>
  </si>
  <si>
    <t>44.6289978</t>
  </si>
  <si>
    <t>65.41238357</t>
  </si>
  <si>
    <t>6.15393902</t>
  </si>
  <si>
    <t>21.57684071</t>
  </si>
  <si>
    <t>6.856836706</t>
  </si>
  <si>
    <t>48.22728833</t>
  </si>
  <si>
    <t>8.331703613</t>
  </si>
  <si>
    <t>31.60865444</t>
  </si>
  <si>
    <t>11.83235362</t>
  </si>
  <si>
    <t>86.73385466</t>
  </si>
  <si>
    <t>3.451996194</t>
  </si>
  <si>
    <t>9.130414105</t>
  </si>
  <si>
    <t>0.6837350463</t>
  </si>
  <si>
    <t>Zimbabwe</t>
  </si>
  <si>
    <t>13814.6416</t>
  </si>
  <si>
    <t>32.38499832</t>
  </si>
  <si>
    <t>64.95492911</t>
  </si>
  <si>
    <t>12.45676477</t>
  </si>
  <si>
    <t>15.89884206</t>
  </si>
  <si>
    <t>6.689464055</t>
  </si>
  <si>
    <t>51.25006071</t>
  </si>
  <si>
    <t>16.39672658</t>
  </si>
  <si>
    <t>22.51446862</t>
  </si>
  <si>
    <t>9.838744088</t>
  </si>
  <si>
    <t>93.56863574</t>
  </si>
  <si>
    <t>4.23071973</t>
  </si>
  <si>
    <t>2.086401773</t>
  </si>
  <si>
    <t>0.1142427564</t>
  </si>
  <si>
    <t>14862.92676</t>
  </si>
  <si>
    <t>32.24200058</t>
  </si>
  <si>
    <t>62.66645761</t>
  </si>
  <si>
    <t>14.1975397</t>
  </si>
  <si>
    <t>16.27785545</t>
  </si>
  <si>
    <t>6.858147242</t>
  </si>
  <si>
    <t>48.28242885</t>
  </si>
  <si>
    <t>18.59098467</t>
  </si>
  <si>
    <t>23.01364655</t>
  </si>
  <si>
    <t>10.11293992</t>
  </si>
  <si>
    <t>92.89512895</t>
  </si>
  <si>
    <t>4.964517757</t>
  </si>
  <si>
    <t>2.122298674</t>
  </si>
  <si>
    <t>0.01805461538</t>
  </si>
  <si>
    <t>Avg Year difference</t>
  </si>
  <si>
    <t>Min year difference</t>
  </si>
  <si>
    <t>Max year difference</t>
  </si>
  <si>
    <t>Avg(ARC_n)</t>
  </si>
  <si>
    <t>Avg(ARC_r)</t>
  </si>
  <si>
    <t>Avg(ARC_u)</t>
  </si>
  <si>
    <t>Min(ARC_n)</t>
  </si>
  <si>
    <t>Min(ARC_r)</t>
  </si>
  <si>
    <t>Min(ARC_u)</t>
  </si>
  <si>
    <t>Max(ARC_n)</t>
  </si>
  <si>
    <t>Max(ARC_r)</t>
  </si>
  <si>
    <t>Max(ARC_u)</t>
  </si>
  <si>
    <t>ARC_n(null countries)</t>
  </si>
  <si>
    <t>ARC_r(null countries)</t>
  </si>
  <si>
    <t>ARC_u(null countries)</t>
  </si>
  <si>
    <t xml:space="preserve">ARC0 </t>
  </si>
  <si>
    <t>region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</si>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</sst>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3">
        <f t="shared" ref="Q2:Q463" si="1">IF(A2=A3, B3-B2, "")</f>
        <v>5</v>
      </c>
      <c r="R2" s="3">
        <f t="shared" ref="R2:R463" si="2">IFERROR(IF(A3=A2, (E3-E2)/(B3-B2), ""), "")</f>
        <v>2.750326488</v>
      </c>
      <c r="S2" s="3">
        <f t="shared" ref="S2:S463" si="3">IFERROR(IF(A3=A2, (I3-I2)/(B3-B2), ""), "")</f>
        <v>2.667882638</v>
      </c>
      <c r="T2" s="3">
        <f t="shared" ref="T2:T463" si="4">IFERROR(IF(A3=A2, (M3-M2)/(B3-B2), ""), "")</f>
        <v>2.668211856</v>
      </c>
      <c r="U2" s="3">
        <f t="shared" ref="U2:U18" si="5">ROUND(E2,0)</f>
        <v>61</v>
      </c>
      <c r="V2" s="3">
        <f t="shared" ref="V2:V463" si="6">IFERROR(ROUND(I2,0),0)</f>
        <v>53</v>
      </c>
      <c r="W2" s="3">
        <f t="shared" ref="W2:W463" si="7">IFERROR(ROUND(M2,0),0)</f>
        <v>87</v>
      </c>
      <c r="X2" s="3" t="str">
        <f t="shared" ref="X2:X463" si="8">IF(AND(A2=A3, U2=100, U3=100), "full access", "")</f>
        <v/>
      </c>
      <c r="Y2" s="3" t="str">
        <f t="shared" ref="Y2:Y463" si="9">IF(AND(A2=A3, V2=100, V3=100), "full access", "")</f>
        <v/>
      </c>
      <c r="Z2" s="3" t="str">
        <f t="shared" ref="Z2:Z463" si="10">IF(AND(A2=A3, W2=100, W3=100), "full access", "")</f>
        <v/>
      </c>
      <c r="AA2" s="3">
        <f>IF(A3=A2, S3-T3, "")</f>
        <v>0</v>
      </c>
    </row>
    <row r="3">
      <c r="A3" s="1" t="s">
        <v>27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55</v>
      </c>
      <c r="P3" s="2" t="s">
        <v>55</v>
      </c>
      <c r="Q3" s="3" t="str">
        <f t="shared" si="1"/>
        <v/>
      </c>
      <c r="R3" s="3" t="str">
        <f t="shared" si="2"/>
        <v/>
      </c>
      <c r="S3" s="3" t="str">
        <f t="shared" si="3"/>
        <v/>
      </c>
      <c r="T3" s="3" t="str">
        <f t="shared" si="4"/>
        <v/>
      </c>
      <c r="U3" s="3">
        <f t="shared" si="5"/>
        <v>75</v>
      </c>
      <c r="V3" s="3">
        <f t="shared" si="6"/>
        <v>66</v>
      </c>
      <c r="W3" s="3">
        <f t="shared" si="7"/>
        <v>100</v>
      </c>
      <c r="X3" s="3" t="str">
        <f t="shared" si="8"/>
        <v/>
      </c>
      <c r="Y3" s="3" t="str">
        <f t="shared" si="9"/>
        <v/>
      </c>
      <c r="Z3" s="3" t="str">
        <f t="shared" si="10"/>
        <v/>
      </c>
      <c r="AA3" s="3">
        <f t="shared" ref="AA3:AA463" si="11">S3-T3</f>
        <v>0</v>
      </c>
    </row>
    <row r="4">
      <c r="A4" s="1" t="s">
        <v>56</v>
      </c>
      <c r="B4" s="2" t="s">
        <v>28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55</v>
      </c>
      <c r="I4" s="2" t="s">
        <v>62</v>
      </c>
      <c r="J4" s="2" t="s">
        <v>63</v>
      </c>
      <c r="K4" s="2" t="s">
        <v>64</v>
      </c>
      <c r="L4" s="2" t="s">
        <v>55</v>
      </c>
      <c r="M4" s="2" t="s">
        <v>65</v>
      </c>
      <c r="N4" s="2" t="s">
        <v>66</v>
      </c>
      <c r="O4" s="2" t="s">
        <v>67</v>
      </c>
      <c r="P4" s="2" t="s">
        <v>55</v>
      </c>
      <c r="Q4" s="3">
        <f t="shared" si="1"/>
        <v>5</v>
      </c>
      <c r="R4" s="3">
        <f t="shared" si="2"/>
        <v>0.334742698</v>
      </c>
      <c r="S4" s="3">
        <f t="shared" si="3"/>
        <v>0.69281669</v>
      </c>
      <c r="T4" s="3">
        <f t="shared" si="4"/>
        <v>0.043748432</v>
      </c>
      <c r="U4" s="3">
        <f t="shared" si="5"/>
        <v>93</v>
      </c>
      <c r="V4" s="3">
        <f t="shared" si="6"/>
        <v>91</v>
      </c>
      <c r="W4" s="3">
        <f t="shared" si="7"/>
        <v>95</v>
      </c>
      <c r="X4" s="3" t="str">
        <f t="shared" si="8"/>
        <v/>
      </c>
      <c r="Y4" s="3" t="str">
        <f t="shared" si="9"/>
        <v/>
      </c>
      <c r="Z4" s="3" t="str">
        <f t="shared" si="10"/>
        <v/>
      </c>
      <c r="AA4" s="3">
        <f t="shared" si="11"/>
        <v>0.649068258</v>
      </c>
    </row>
    <row r="5">
      <c r="A5" s="1" t="s">
        <v>56</v>
      </c>
      <c r="B5" s="2" t="s">
        <v>43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55</v>
      </c>
      <c r="I5" s="2" t="s">
        <v>73</v>
      </c>
      <c r="J5" s="2" t="s">
        <v>74</v>
      </c>
      <c r="K5" s="2" t="s">
        <v>75</v>
      </c>
      <c r="L5" s="2" t="s">
        <v>55</v>
      </c>
      <c r="M5" s="2" t="s">
        <v>76</v>
      </c>
      <c r="N5" s="2" t="s">
        <v>77</v>
      </c>
      <c r="O5" s="2" t="s">
        <v>78</v>
      </c>
      <c r="P5" s="2" t="s">
        <v>55</v>
      </c>
      <c r="Q5" s="3" t="str">
        <f t="shared" si="1"/>
        <v/>
      </c>
      <c r="R5" s="3" t="str">
        <f t="shared" si="2"/>
        <v/>
      </c>
      <c r="S5" s="3" t="str">
        <f t="shared" si="3"/>
        <v/>
      </c>
      <c r="T5" s="3" t="str">
        <f t="shared" si="4"/>
        <v/>
      </c>
      <c r="U5" s="3">
        <f t="shared" si="5"/>
        <v>95</v>
      </c>
      <c r="V5" s="3">
        <f t="shared" si="6"/>
        <v>94</v>
      </c>
      <c r="W5" s="3">
        <f t="shared" si="7"/>
        <v>96</v>
      </c>
      <c r="X5" s="3" t="str">
        <f t="shared" si="8"/>
        <v/>
      </c>
      <c r="Y5" s="3" t="str">
        <f t="shared" si="9"/>
        <v/>
      </c>
      <c r="Z5" s="3" t="str">
        <f t="shared" si="10"/>
        <v/>
      </c>
      <c r="AA5" s="3">
        <f t="shared" si="11"/>
        <v>0</v>
      </c>
    </row>
    <row r="6">
      <c r="A6" s="1" t="s">
        <v>79</v>
      </c>
      <c r="B6" s="2" t="s">
        <v>28</v>
      </c>
      <c r="C6" s="2" t="s">
        <v>80</v>
      </c>
      <c r="D6" s="2" t="s">
        <v>81</v>
      </c>
      <c r="E6" s="2" t="s">
        <v>82</v>
      </c>
      <c r="F6" s="2" t="s">
        <v>83</v>
      </c>
      <c r="G6" s="2" t="s">
        <v>84</v>
      </c>
      <c r="H6" s="2" t="s">
        <v>85</v>
      </c>
      <c r="I6" s="2" t="s">
        <v>86</v>
      </c>
      <c r="J6" s="2" t="s">
        <v>87</v>
      </c>
      <c r="K6" s="2" t="s">
        <v>88</v>
      </c>
      <c r="L6" s="2" t="s">
        <v>89</v>
      </c>
      <c r="M6" s="2" t="s">
        <v>90</v>
      </c>
      <c r="N6" s="2" t="s">
        <v>91</v>
      </c>
      <c r="O6" s="2" t="s">
        <v>92</v>
      </c>
      <c r="P6" s="2" t="s">
        <v>93</v>
      </c>
      <c r="Q6" s="3">
        <f t="shared" si="1"/>
        <v>5</v>
      </c>
      <c r="R6" s="3">
        <f t="shared" si="2"/>
        <v>0.205553686</v>
      </c>
      <c r="S6" s="3">
        <f t="shared" si="3"/>
        <v>0.33696621</v>
      </c>
      <c r="T6" s="3">
        <f t="shared" si="4"/>
        <v>0.102884232</v>
      </c>
      <c r="U6" s="3">
        <f t="shared" si="5"/>
        <v>93</v>
      </c>
      <c r="V6" s="3">
        <f t="shared" si="6"/>
        <v>88</v>
      </c>
      <c r="W6" s="3">
        <f t="shared" si="7"/>
        <v>95</v>
      </c>
      <c r="X6" s="3" t="str">
        <f t="shared" si="8"/>
        <v/>
      </c>
      <c r="Y6" s="3" t="str">
        <f t="shared" si="9"/>
        <v/>
      </c>
      <c r="Z6" s="3" t="str">
        <f t="shared" si="10"/>
        <v/>
      </c>
      <c r="AA6" s="3">
        <f t="shared" si="11"/>
        <v>0.234081978</v>
      </c>
    </row>
    <row r="7">
      <c r="A7" s="1" t="s">
        <v>79</v>
      </c>
      <c r="B7" s="2" t="s">
        <v>43</v>
      </c>
      <c r="C7" s="2" t="s">
        <v>94</v>
      </c>
      <c r="D7" s="2" t="s">
        <v>95</v>
      </c>
      <c r="E7" s="2" t="s">
        <v>96</v>
      </c>
      <c r="F7" s="2" t="s">
        <v>97</v>
      </c>
      <c r="G7" s="2" t="s">
        <v>98</v>
      </c>
      <c r="H7" s="2" t="s">
        <v>99</v>
      </c>
      <c r="I7" s="2" t="s">
        <v>100</v>
      </c>
      <c r="J7" s="2" t="s">
        <v>101</v>
      </c>
      <c r="K7" s="2" t="s">
        <v>102</v>
      </c>
      <c r="L7" s="2" t="s">
        <v>103</v>
      </c>
      <c r="M7" s="2" t="s">
        <v>104</v>
      </c>
      <c r="N7" s="2" t="s">
        <v>105</v>
      </c>
      <c r="O7" s="2" t="s">
        <v>106</v>
      </c>
      <c r="P7" s="2" t="s">
        <v>55</v>
      </c>
      <c r="Q7" s="3" t="str">
        <f t="shared" si="1"/>
        <v/>
      </c>
      <c r="R7" s="3" t="str">
        <f t="shared" si="2"/>
        <v/>
      </c>
      <c r="S7" s="3" t="str">
        <f t="shared" si="3"/>
        <v/>
      </c>
      <c r="T7" s="3" t="str">
        <f t="shared" si="4"/>
        <v/>
      </c>
      <c r="U7" s="3">
        <f t="shared" si="5"/>
        <v>94</v>
      </c>
      <c r="V7" s="3">
        <f t="shared" si="6"/>
        <v>90</v>
      </c>
      <c r="W7" s="3">
        <f t="shared" si="7"/>
        <v>96</v>
      </c>
      <c r="X7" s="3" t="str">
        <f t="shared" si="8"/>
        <v/>
      </c>
      <c r="Y7" s="3" t="str">
        <f t="shared" si="9"/>
        <v/>
      </c>
      <c r="Z7" s="3" t="str">
        <f t="shared" si="10"/>
        <v/>
      </c>
      <c r="AA7" s="3">
        <f t="shared" si="11"/>
        <v>0</v>
      </c>
    </row>
    <row r="8">
      <c r="A8" s="1" t="s">
        <v>107</v>
      </c>
      <c r="B8" s="2" t="s">
        <v>28</v>
      </c>
      <c r="C8" s="2" t="s">
        <v>108</v>
      </c>
      <c r="D8" s="2" t="s">
        <v>109</v>
      </c>
      <c r="E8" s="2" t="s">
        <v>110</v>
      </c>
      <c r="F8" s="2" t="s">
        <v>55</v>
      </c>
      <c r="G8" s="2" t="s">
        <v>111</v>
      </c>
      <c r="H8" s="2" t="s">
        <v>55</v>
      </c>
      <c r="I8" s="1" t="s">
        <v>112</v>
      </c>
      <c r="J8" s="1" t="s">
        <v>112</v>
      </c>
      <c r="K8" s="1" t="s">
        <v>112</v>
      </c>
      <c r="L8" s="1" t="s">
        <v>112</v>
      </c>
      <c r="M8" s="1" t="s">
        <v>112</v>
      </c>
      <c r="N8" s="1" t="s">
        <v>112</v>
      </c>
      <c r="O8" s="1" t="s">
        <v>112</v>
      </c>
      <c r="P8" s="1" t="s">
        <v>112</v>
      </c>
      <c r="Q8" s="3">
        <f t="shared" si="1"/>
        <v>5</v>
      </c>
      <c r="R8" s="3">
        <f t="shared" si="2"/>
        <v>0.030933702</v>
      </c>
      <c r="S8" s="3" t="str">
        <f t="shared" si="3"/>
        <v/>
      </c>
      <c r="T8" s="3" t="str">
        <f t="shared" si="4"/>
        <v/>
      </c>
      <c r="U8" s="3">
        <f t="shared" si="5"/>
        <v>100</v>
      </c>
      <c r="V8" s="3">
        <f t="shared" si="6"/>
        <v>0</v>
      </c>
      <c r="W8" s="3">
        <f t="shared" si="7"/>
        <v>0</v>
      </c>
      <c r="X8" s="3" t="str">
        <f t="shared" si="8"/>
        <v>full access</v>
      </c>
      <c r="Y8" s="3" t="str">
        <f t="shared" si="9"/>
        <v/>
      </c>
      <c r="Z8" s="3" t="str">
        <f t="shared" si="10"/>
        <v/>
      </c>
      <c r="AA8" s="3">
        <f t="shared" si="11"/>
        <v>0</v>
      </c>
    </row>
    <row r="9">
      <c r="A9" s="1" t="s">
        <v>107</v>
      </c>
      <c r="B9" s="2" t="s">
        <v>43</v>
      </c>
      <c r="C9" s="2" t="s">
        <v>113</v>
      </c>
      <c r="D9" s="2" t="s">
        <v>114</v>
      </c>
      <c r="E9" s="2" t="s">
        <v>115</v>
      </c>
      <c r="F9" s="2" t="s">
        <v>55</v>
      </c>
      <c r="G9" s="2" t="s">
        <v>116</v>
      </c>
      <c r="H9" s="2" t="s">
        <v>55</v>
      </c>
      <c r="I9" s="1" t="s">
        <v>112</v>
      </c>
      <c r="J9" s="1" t="s">
        <v>112</v>
      </c>
      <c r="K9" s="1" t="s">
        <v>112</v>
      </c>
      <c r="L9" s="1" t="s">
        <v>112</v>
      </c>
      <c r="M9" s="1" t="s">
        <v>112</v>
      </c>
      <c r="N9" s="1" t="s">
        <v>112</v>
      </c>
      <c r="O9" s="1" t="s">
        <v>112</v>
      </c>
      <c r="P9" s="1" t="s">
        <v>112</v>
      </c>
      <c r="Q9" s="3" t="str">
        <f t="shared" si="1"/>
        <v/>
      </c>
      <c r="R9" s="3" t="str">
        <f t="shared" si="2"/>
        <v/>
      </c>
      <c r="S9" s="3" t="str">
        <f t="shared" si="3"/>
        <v/>
      </c>
      <c r="T9" s="3" t="str">
        <f t="shared" si="4"/>
        <v/>
      </c>
      <c r="U9" s="3">
        <f t="shared" si="5"/>
        <v>100</v>
      </c>
      <c r="V9" s="3">
        <f t="shared" si="6"/>
        <v>0</v>
      </c>
      <c r="W9" s="3">
        <f t="shared" si="7"/>
        <v>0</v>
      </c>
      <c r="X9" s="3" t="str">
        <f t="shared" si="8"/>
        <v/>
      </c>
      <c r="Y9" s="3" t="str">
        <f t="shared" si="9"/>
        <v/>
      </c>
      <c r="Z9" s="3" t="str">
        <f t="shared" si="10"/>
        <v/>
      </c>
      <c r="AA9" s="3">
        <f t="shared" si="11"/>
        <v>0</v>
      </c>
    </row>
    <row r="10">
      <c r="A10" s="1" t="s">
        <v>117</v>
      </c>
      <c r="B10" s="2" t="s">
        <v>28</v>
      </c>
      <c r="C10" s="2" t="s">
        <v>118</v>
      </c>
      <c r="D10" s="2" t="s">
        <v>119</v>
      </c>
      <c r="E10" s="2" t="s">
        <v>120</v>
      </c>
      <c r="F10" s="2" t="s">
        <v>55</v>
      </c>
      <c r="G10" s="2" t="s">
        <v>121</v>
      </c>
      <c r="H10" s="2" t="s">
        <v>55</v>
      </c>
      <c r="I10" s="2" t="s">
        <v>54</v>
      </c>
      <c r="J10" s="2" t="s">
        <v>55</v>
      </c>
      <c r="K10" s="2" t="s">
        <v>55</v>
      </c>
      <c r="L10" s="2" t="s">
        <v>55</v>
      </c>
      <c r="M10" s="2" t="s">
        <v>54</v>
      </c>
      <c r="N10" s="2" t="s">
        <v>55</v>
      </c>
      <c r="O10" s="2" t="s">
        <v>55</v>
      </c>
      <c r="P10" s="2" t="s">
        <v>55</v>
      </c>
      <c r="Q10" s="3">
        <f t="shared" si="1"/>
        <v>5</v>
      </c>
      <c r="R10" s="3">
        <f t="shared" si="2"/>
        <v>0.000001229999998</v>
      </c>
      <c r="S10" s="3">
        <f t="shared" si="3"/>
        <v>0</v>
      </c>
      <c r="T10" s="3">
        <f t="shared" si="4"/>
        <v>0</v>
      </c>
      <c r="U10" s="3">
        <f t="shared" si="5"/>
        <v>100</v>
      </c>
      <c r="V10" s="3">
        <f t="shared" si="6"/>
        <v>100</v>
      </c>
      <c r="W10" s="3">
        <f t="shared" si="7"/>
        <v>100</v>
      </c>
      <c r="X10" s="3" t="str">
        <f t="shared" si="8"/>
        <v>full access</v>
      </c>
      <c r="Y10" s="3" t="str">
        <f t="shared" si="9"/>
        <v>full access</v>
      </c>
      <c r="Z10" s="3" t="str">
        <f t="shared" si="10"/>
        <v>full access</v>
      </c>
      <c r="AA10" s="3">
        <f t="shared" si="11"/>
        <v>0</v>
      </c>
    </row>
    <row r="11">
      <c r="A11" s="1" t="s">
        <v>117</v>
      </c>
      <c r="B11" s="2" t="s">
        <v>43</v>
      </c>
      <c r="C11" s="2" t="s">
        <v>122</v>
      </c>
      <c r="D11" s="2" t="s">
        <v>123</v>
      </c>
      <c r="E11" s="2" t="s">
        <v>124</v>
      </c>
      <c r="F11" s="2" t="s">
        <v>55</v>
      </c>
      <c r="G11" s="2" t="s">
        <v>55</v>
      </c>
      <c r="H11" s="2" t="s">
        <v>55</v>
      </c>
      <c r="I11" s="2" t="s">
        <v>54</v>
      </c>
      <c r="J11" s="2" t="s">
        <v>55</v>
      </c>
      <c r="K11" s="2" t="s">
        <v>55</v>
      </c>
      <c r="L11" s="2" t="s">
        <v>55</v>
      </c>
      <c r="M11" s="2" t="s">
        <v>54</v>
      </c>
      <c r="N11" s="2" t="s">
        <v>55</v>
      </c>
      <c r="O11" s="2" t="s">
        <v>55</v>
      </c>
      <c r="P11" s="2" t="s">
        <v>55</v>
      </c>
      <c r="Q11" s="3" t="str">
        <f t="shared" si="1"/>
        <v/>
      </c>
      <c r="R11" s="3" t="str">
        <f t="shared" si="2"/>
        <v/>
      </c>
      <c r="S11" s="3" t="str">
        <f t="shared" si="3"/>
        <v/>
      </c>
      <c r="T11" s="3" t="str">
        <f t="shared" si="4"/>
        <v/>
      </c>
      <c r="U11" s="3">
        <f t="shared" si="5"/>
        <v>100</v>
      </c>
      <c r="V11" s="3">
        <f t="shared" si="6"/>
        <v>100</v>
      </c>
      <c r="W11" s="3">
        <f t="shared" si="7"/>
        <v>100</v>
      </c>
      <c r="X11" s="3" t="str">
        <f t="shared" si="8"/>
        <v/>
      </c>
      <c r="Y11" s="3" t="str">
        <f t="shared" si="9"/>
        <v/>
      </c>
      <c r="Z11" s="3" t="str">
        <f t="shared" si="10"/>
        <v/>
      </c>
      <c r="AA11" s="3">
        <f t="shared" si="11"/>
        <v>0</v>
      </c>
    </row>
    <row r="12">
      <c r="A12" s="1" t="s">
        <v>125</v>
      </c>
      <c r="B12" s="2" t="s">
        <v>28</v>
      </c>
      <c r="C12" s="2" t="s">
        <v>126</v>
      </c>
      <c r="D12" s="2" t="s">
        <v>127</v>
      </c>
      <c r="E12" s="2" t="s">
        <v>128</v>
      </c>
      <c r="F12" s="2" t="s">
        <v>129</v>
      </c>
      <c r="G12" s="2" t="s">
        <v>130</v>
      </c>
      <c r="H12" s="2" t="s">
        <v>131</v>
      </c>
      <c r="I12" s="2" t="s">
        <v>132</v>
      </c>
      <c r="J12" s="2" t="s">
        <v>133</v>
      </c>
      <c r="K12" s="2" t="s">
        <v>134</v>
      </c>
      <c r="L12" s="2" t="s">
        <v>135</v>
      </c>
      <c r="M12" s="2" t="s">
        <v>136</v>
      </c>
      <c r="N12" s="2" t="s">
        <v>137</v>
      </c>
      <c r="O12" s="2" t="s">
        <v>138</v>
      </c>
      <c r="P12" s="2" t="s">
        <v>139</v>
      </c>
      <c r="Q12" s="3">
        <f t="shared" si="1"/>
        <v>5</v>
      </c>
      <c r="R12" s="3">
        <f t="shared" si="2"/>
        <v>0.570161854</v>
      </c>
      <c r="S12" s="3">
        <f t="shared" si="3"/>
        <v>0.218771442</v>
      </c>
      <c r="T12" s="3">
        <f t="shared" si="4"/>
        <v>0.3046367</v>
      </c>
      <c r="U12" s="3">
        <f t="shared" si="5"/>
        <v>54</v>
      </c>
      <c r="V12" s="3">
        <f t="shared" si="6"/>
        <v>27</v>
      </c>
      <c r="W12" s="3">
        <f t="shared" si="7"/>
        <v>70</v>
      </c>
      <c r="X12" s="3" t="str">
        <f t="shared" si="8"/>
        <v/>
      </c>
      <c r="Y12" s="3" t="str">
        <f t="shared" si="9"/>
        <v/>
      </c>
      <c r="Z12" s="3" t="str">
        <f t="shared" si="10"/>
        <v/>
      </c>
      <c r="AA12" s="3">
        <f t="shared" si="11"/>
        <v>-0.085865258</v>
      </c>
    </row>
    <row r="13">
      <c r="A13" s="1" t="s">
        <v>125</v>
      </c>
      <c r="B13" s="2" t="s">
        <v>43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148</v>
      </c>
      <c r="L13" s="2" t="s">
        <v>149</v>
      </c>
      <c r="M13" s="2" t="s">
        <v>150</v>
      </c>
      <c r="N13" s="2" t="s">
        <v>151</v>
      </c>
      <c r="O13" s="2" t="s">
        <v>152</v>
      </c>
      <c r="P13" s="2" t="s">
        <v>153</v>
      </c>
      <c r="Q13" s="3" t="str">
        <f t="shared" si="1"/>
        <v/>
      </c>
      <c r="R13" s="3" t="str">
        <f t="shared" si="2"/>
        <v/>
      </c>
      <c r="S13" s="3" t="str">
        <f t="shared" si="3"/>
        <v/>
      </c>
      <c r="T13" s="3" t="str">
        <f t="shared" si="4"/>
        <v/>
      </c>
      <c r="U13" s="3">
        <f t="shared" si="5"/>
        <v>57</v>
      </c>
      <c r="V13" s="3">
        <f t="shared" si="6"/>
        <v>28</v>
      </c>
      <c r="W13" s="3">
        <f t="shared" si="7"/>
        <v>72</v>
      </c>
      <c r="X13" s="3" t="str">
        <f t="shared" si="8"/>
        <v/>
      </c>
      <c r="Y13" s="3" t="str">
        <f t="shared" si="9"/>
        <v/>
      </c>
      <c r="Z13" s="3" t="str">
        <f t="shared" si="10"/>
        <v/>
      </c>
      <c r="AA13" s="3">
        <f t="shared" si="11"/>
        <v>0</v>
      </c>
    </row>
    <row r="14">
      <c r="A14" s="1" t="s">
        <v>154</v>
      </c>
      <c r="B14" s="2" t="s">
        <v>28</v>
      </c>
      <c r="C14" s="2" t="s">
        <v>155</v>
      </c>
      <c r="D14" s="2" t="s">
        <v>54</v>
      </c>
      <c r="E14" s="2" t="s">
        <v>156</v>
      </c>
      <c r="F14" s="2" t="s">
        <v>55</v>
      </c>
      <c r="G14" s="2" t="s">
        <v>157</v>
      </c>
      <c r="H14" s="2" t="s">
        <v>55</v>
      </c>
      <c r="I14" s="1" t="s">
        <v>112</v>
      </c>
      <c r="J14" s="1" t="s">
        <v>112</v>
      </c>
      <c r="K14" s="1" t="s">
        <v>112</v>
      </c>
      <c r="L14" s="1" t="s">
        <v>112</v>
      </c>
      <c r="M14" s="2" t="s">
        <v>156</v>
      </c>
      <c r="N14" s="2" t="s">
        <v>55</v>
      </c>
      <c r="O14" s="2" t="s">
        <v>157</v>
      </c>
      <c r="P14" s="2" t="s">
        <v>55</v>
      </c>
      <c r="Q14" s="3">
        <f t="shared" si="1"/>
        <v>2</v>
      </c>
      <c r="R14" s="3">
        <f t="shared" si="2"/>
        <v>0</v>
      </c>
      <c r="S14" s="3" t="str">
        <f t="shared" si="3"/>
        <v/>
      </c>
      <c r="T14" s="3">
        <f t="shared" si="4"/>
        <v>0</v>
      </c>
      <c r="U14" s="3">
        <f t="shared" si="5"/>
        <v>97</v>
      </c>
      <c r="V14" s="3">
        <f t="shared" si="6"/>
        <v>0</v>
      </c>
      <c r="W14" s="3">
        <f t="shared" si="7"/>
        <v>97</v>
      </c>
      <c r="X14" s="3" t="str">
        <f t="shared" si="8"/>
        <v/>
      </c>
      <c r="Y14" s="3" t="str">
        <f t="shared" si="9"/>
        <v/>
      </c>
      <c r="Z14" s="3" t="str">
        <f t="shared" si="10"/>
        <v/>
      </c>
      <c r="AA14" s="3">
        <f t="shared" si="11"/>
        <v>0</v>
      </c>
    </row>
    <row r="15">
      <c r="A15" s="1" t="s">
        <v>154</v>
      </c>
      <c r="B15" s="2" t="s">
        <v>158</v>
      </c>
      <c r="C15" s="2" t="s">
        <v>159</v>
      </c>
      <c r="D15" s="2" t="s">
        <v>54</v>
      </c>
      <c r="E15" s="2" t="s">
        <v>156</v>
      </c>
      <c r="F15" s="2" t="s">
        <v>55</v>
      </c>
      <c r="G15" s="2" t="s">
        <v>157</v>
      </c>
      <c r="H15" s="2" t="s">
        <v>55</v>
      </c>
      <c r="I15" s="1" t="s">
        <v>112</v>
      </c>
      <c r="J15" s="1" t="s">
        <v>112</v>
      </c>
      <c r="K15" s="1" t="s">
        <v>112</v>
      </c>
      <c r="L15" s="1" t="s">
        <v>112</v>
      </c>
      <c r="M15" s="2" t="s">
        <v>156</v>
      </c>
      <c r="N15" s="2" t="s">
        <v>55</v>
      </c>
      <c r="O15" s="2" t="s">
        <v>157</v>
      </c>
      <c r="P15" s="2" t="s">
        <v>55</v>
      </c>
      <c r="Q15" s="3" t="str">
        <f t="shared" si="1"/>
        <v/>
      </c>
      <c r="R15" s="3" t="str">
        <f t="shared" si="2"/>
        <v/>
      </c>
      <c r="S15" s="3" t="str">
        <f t="shared" si="3"/>
        <v/>
      </c>
      <c r="T15" s="3" t="str">
        <f t="shared" si="4"/>
        <v/>
      </c>
      <c r="U15" s="3">
        <f t="shared" si="5"/>
        <v>97</v>
      </c>
      <c r="V15" s="3">
        <f t="shared" si="6"/>
        <v>0</v>
      </c>
      <c r="W15" s="3">
        <f t="shared" si="7"/>
        <v>97</v>
      </c>
      <c r="X15" s="3" t="str">
        <f t="shared" si="8"/>
        <v/>
      </c>
      <c r="Y15" s="3" t="str">
        <f t="shared" si="9"/>
        <v/>
      </c>
      <c r="Z15" s="3" t="str">
        <f t="shared" si="10"/>
        <v/>
      </c>
      <c r="AA15" s="3">
        <f t="shared" si="11"/>
        <v>0</v>
      </c>
    </row>
    <row r="16">
      <c r="A16" s="1" t="s">
        <v>160</v>
      </c>
      <c r="B16" s="2" t="s">
        <v>28</v>
      </c>
      <c r="C16" s="2" t="s">
        <v>161</v>
      </c>
      <c r="D16" s="2" t="s">
        <v>162</v>
      </c>
      <c r="E16" s="2" t="s">
        <v>163</v>
      </c>
      <c r="F16" s="2" t="s">
        <v>55</v>
      </c>
      <c r="G16" s="2" t="s">
        <v>164</v>
      </c>
      <c r="H16" s="2" t="s">
        <v>165</v>
      </c>
      <c r="I16" s="1" t="s">
        <v>112</v>
      </c>
      <c r="J16" s="1" t="s">
        <v>112</v>
      </c>
      <c r="K16" s="1" t="s">
        <v>112</v>
      </c>
      <c r="L16" s="1" t="s">
        <v>112</v>
      </c>
      <c r="M16" s="1" t="s">
        <v>112</v>
      </c>
      <c r="N16" s="1" t="s">
        <v>112</v>
      </c>
      <c r="O16" s="1" t="s">
        <v>112</v>
      </c>
      <c r="P16" s="1" t="s">
        <v>112</v>
      </c>
      <c r="Q16" s="3">
        <f t="shared" si="1"/>
        <v>2</v>
      </c>
      <c r="R16" s="3">
        <f t="shared" si="2"/>
        <v>0</v>
      </c>
      <c r="S16" s="3" t="str">
        <f t="shared" si="3"/>
        <v/>
      </c>
      <c r="T16" s="3" t="str">
        <f t="shared" si="4"/>
        <v/>
      </c>
      <c r="U16" s="3">
        <f t="shared" si="5"/>
        <v>97</v>
      </c>
      <c r="V16" s="3">
        <f t="shared" si="6"/>
        <v>0</v>
      </c>
      <c r="W16" s="3">
        <f t="shared" si="7"/>
        <v>0</v>
      </c>
      <c r="X16" s="3" t="str">
        <f t="shared" si="8"/>
        <v/>
      </c>
      <c r="Y16" s="3" t="str">
        <f t="shared" si="9"/>
        <v/>
      </c>
      <c r="Z16" s="3" t="str">
        <f t="shared" si="10"/>
        <v/>
      </c>
      <c r="AA16" s="3">
        <f t="shared" si="11"/>
        <v>0</v>
      </c>
    </row>
    <row r="17">
      <c r="A17" s="1" t="s">
        <v>160</v>
      </c>
      <c r="B17" s="2" t="s">
        <v>158</v>
      </c>
      <c r="C17" s="2" t="s">
        <v>166</v>
      </c>
      <c r="D17" s="2" t="s">
        <v>167</v>
      </c>
      <c r="E17" s="2" t="s">
        <v>163</v>
      </c>
      <c r="F17" s="2" t="s">
        <v>55</v>
      </c>
      <c r="G17" s="2" t="s">
        <v>164</v>
      </c>
      <c r="H17" s="2" t="s">
        <v>165</v>
      </c>
      <c r="I17" s="1" t="s">
        <v>112</v>
      </c>
      <c r="J17" s="1" t="s">
        <v>112</v>
      </c>
      <c r="K17" s="1" t="s">
        <v>112</v>
      </c>
      <c r="L17" s="1" t="s">
        <v>112</v>
      </c>
      <c r="M17" s="1" t="s">
        <v>112</v>
      </c>
      <c r="N17" s="1" t="s">
        <v>112</v>
      </c>
      <c r="O17" s="1" t="s">
        <v>112</v>
      </c>
      <c r="P17" s="1" t="s">
        <v>112</v>
      </c>
      <c r="Q17" s="3" t="str">
        <f t="shared" si="1"/>
        <v/>
      </c>
      <c r="R17" s="3" t="str">
        <f t="shared" si="2"/>
        <v/>
      </c>
      <c r="S17" s="3" t="str">
        <f t="shared" si="3"/>
        <v/>
      </c>
      <c r="T17" s="3" t="str">
        <f t="shared" si="4"/>
        <v/>
      </c>
      <c r="U17" s="3">
        <f t="shared" si="5"/>
        <v>97</v>
      </c>
      <c r="V17" s="3">
        <f t="shared" si="6"/>
        <v>0</v>
      </c>
      <c r="W17" s="3">
        <f t="shared" si="7"/>
        <v>0</v>
      </c>
      <c r="X17" s="3" t="str">
        <f t="shared" si="8"/>
        <v/>
      </c>
      <c r="Y17" s="3" t="str">
        <f t="shared" si="9"/>
        <v/>
      </c>
      <c r="Z17" s="3" t="str">
        <f t="shared" si="10"/>
        <v/>
      </c>
      <c r="AA17" s="3">
        <f t="shared" si="11"/>
        <v>0</v>
      </c>
    </row>
    <row r="18">
      <c r="A18" s="1" t="s">
        <v>168</v>
      </c>
      <c r="B18" s="2" t="s">
        <v>28</v>
      </c>
      <c r="C18" s="2" t="s">
        <v>169</v>
      </c>
      <c r="D18" s="2" t="s">
        <v>170</v>
      </c>
      <c r="E18" s="2" t="s">
        <v>171</v>
      </c>
      <c r="F18" s="2" t="s">
        <v>55</v>
      </c>
      <c r="G18" s="2" t="s">
        <v>172</v>
      </c>
      <c r="H18" s="2" t="s">
        <v>173</v>
      </c>
      <c r="I18" s="2" t="s">
        <v>174</v>
      </c>
      <c r="J18" s="2" t="s">
        <v>55</v>
      </c>
      <c r="K18" s="2" t="s">
        <v>175</v>
      </c>
      <c r="L18" s="2" t="s">
        <v>176</v>
      </c>
      <c r="M18" s="2" t="s">
        <v>177</v>
      </c>
      <c r="N18" s="2" t="s">
        <v>55</v>
      </c>
      <c r="O18" s="2" t="s">
        <v>178</v>
      </c>
      <c r="P18" s="2" t="s">
        <v>55</v>
      </c>
      <c r="Q18" s="3">
        <f t="shared" si="1"/>
        <v>5</v>
      </c>
      <c r="R18" s="3" t="str">
        <f t="shared" si="2"/>
        <v/>
      </c>
      <c r="S18" s="3" t="str">
        <f t="shared" si="3"/>
        <v/>
      </c>
      <c r="T18" s="3">
        <f t="shared" si="4"/>
        <v>0.05365152</v>
      </c>
      <c r="U18" s="3">
        <f t="shared" si="5"/>
        <v>99</v>
      </c>
      <c r="V18" s="3">
        <f t="shared" si="6"/>
        <v>93</v>
      </c>
      <c r="W18" s="3">
        <f t="shared" si="7"/>
        <v>100</v>
      </c>
      <c r="X18" s="3" t="str">
        <f t="shared" si="8"/>
        <v/>
      </c>
      <c r="Y18" s="3" t="str">
        <f t="shared" si="9"/>
        <v/>
      </c>
      <c r="Z18" s="3" t="str">
        <f t="shared" si="10"/>
        <v>full access</v>
      </c>
      <c r="AA18" s="3">
        <f t="shared" si="11"/>
        <v>-0.05365152</v>
      </c>
    </row>
    <row r="19">
      <c r="A19" s="1" t="s">
        <v>168</v>
      </c>
      <c r="B19" s="2" t="s">
        <v>43</v>
      </c>
      <c r="C19" s="2" t="s">
        <v>179</v>
      </c>
      <c r="D19" s="2" t="s">
        <v>180</v>
      </c>
      <c r="E19" s="1" t="s">
        <v>112</v>
      </c>
      <c r="F19" s="1" t="s">
        <v>112</v>
      </c>
      <c r="G19" s="1" t="s">
        <v>112</v>
      </c>
      <c r="H19" s="1" t="s">
        <v>112</v>
      </c>
      <c r="I19" s="1" t="s">
        <v>112</v>
      </c>
      <c r="J19" s="1" t="s">
        <v>112</v>
      </c>
      <c r="K19" s="1" t="s">
        <v>112</v>
      </c>
      <c r="L19" s="1" t="s">
        <v>112</v>
      </c>
      <c r="M19" s="2" t="s">
        <v>181</v>
      </c>
      <c r="N19" s="2" t="s">
        <v>55</v>
      </c>
      <c r="O19" s="2" t="s">
        <v>182</v>
      </c>
      <c r="P19" s="2" t="s">
        <v>55</v>
      </c>
      <c r="Q19" s="3" t="str">
        <f t="shared" si="1"/>
        <v/>
      </c>
      <c r="R19" s="3" t="str">
        <f t="shared" si="2"/>
        <v/>
      </c>
      <c r="S19" s="3" t="str">
        <f t="shared" si="3"/>
        <v/>
      </c>
      <c r="T19" s="3" t="str">
        <f t="shared" si="4"/>
        <v/>
      </c>
      <c r="U19" s="3">
        <f t="shared" ref="U19:U463" si="12">IFERROR(ROUND(E19,0),0)</f>
        <v>0</v>
      </c>
      <c r="V19" s="3">
        <f t="shared" si="6"/>
        <v>0</v>
      </c>
      <c r="W19" s="3">
        <f t="shared" si="7"/>
        <v>100</v>
      </c>
      <c r="X19" s="3" t="str">
        <f t="shared" si="8"/>
        <v/>
      </c>
      <c r="Y19" s="3" t="str">
        <f t="shared" si="9"/>
        <v/>
      </c>
      <c r="Z19" s="3" t="str">
        <f t="shared" si="10"/>
        <v/>
      </c>
      <c r="AA19" s="3">
        <f t="shared" si="11"/>
        <v>0</v>
      </c>
    </row>
    <row r="20">
      <c r="A20" s="1" t="s">
        <v>183</v>
      </c>
      <c r="B20" s="2" t="s">
        <v>28</v>
      </c>
      <c r="C20" s="2" t="s">
        <v>184</v>
      </c>
      <c r="D20" s="2" t="s">
        <v>185</v>
      </c>
      <c r="E20" s="2" t="s">
        <v>186</v>
      </c>
      <c r="F20" s="2" t="s">
        <v>55</v>
      </c>
      <c r="G20" s="2" t="s">
        <v>187</v>
      </c>
      <c r="H20" s="2" t="s">
        <v>188</v>
      </c>
      <c r="I20" s="2" t="s">
        <v>189</v>
      </c>
      <c r="J20" s="2" t="s">
        <v>55</v>
      </c>
      <c r="K20" s="2" t="s">
        <v>55</v>
      </c>
      <c r="L20" s="2" t="s">
        <v>190</v>
      </c>
      <c r="M20" s="2" t="s">
        <v>191</v>
      </c>
      <c r="N20" s="2" t="s">
        <v>55</v>
      </c>
      <c r="O20" s="2" t="s">
        <v>192</v>
      </c>
      <c r="P20" s="2" t="s">
        <v>55</v>
      </c>
      <c r="Q20" s="3">
        <f t="shared" si="1"/>
        <v>5</v>
      </c>
      <c r="R20" s="3">
        <f t="shared" si="2"/>
        <v>0.083722798</v>
      </c>
      <c r="S20" s="3">
        <f t="shared" si="3"/>
        <v>0.189044146</v>
      </c>
      <c r="T20" s="3">
        <f t="shared" si="4"/>
        <v>0.022125564</v>
      </c>
      <c r="U20" s="3">
        <f t="shared" si="12"/>
        <v>100</v>
      </c>
      <c r="V20" s="3">
        <f t="shared" si="6"/>
        <v>99</v>
      </c>
      <c r="W20" s="3">
        <f t="shared" si="7"/>
        <v>100</v>
      </c>
      <c r="X20" s="3" t="str">
        <f t="shared" si="8"/>
        <v>full access</v>
      </c>
      <c r="Y20" s="3" t="str">
        <f t="shared" si="9"/>
        <v/>
      </c>
      <c r="Z20" s="3" t="str">
        <f t="shared" si="10"/>
        <v>full access</v>
      </c>
      <c r="AA20" s="3">
        <f t="shared" si="11"/>
        <v>0.166918582</v>
      </c>
    </row>
    <row r="21">
      <c r="A21" s="1" t="s">
        <v>183</v>
      </c>
      <c r="B21" s="2" t="s">
        <v>43</v>
      </c>
      <c r="C21" s="2" t="s">
        <v>193</v>
      </c>
      <c r="D21" s="2" t="s">
        <v>194</v>
      </c>
      <c r="E21" s="2" t="s">
        <v>195</v>
      </c>
      <c r="F21" s="2" t="s">
        <v>55</v>
      </c>
      <c r="G21" s="2" t="s">
        <v>196</v>
      </c>
      <c r="H21" s="2" t="s">
        <v>55</v>
      </c>
      <c r="I21" s="2" t="s">
        <v>54</v>
      </c>
      <c r="J21" s="2" t="s">
        <v>55</v>
      </c>
      <c r="K21" s="2" t="s">
        <v>55</v>
      </c>
      <c r="L21" s="2" t="s">
        <v>55</v>
      </c>
      <c r="M21" s="2" t="s">
        <v>197</v>
      </c>
      <c r="N21" s="2" t="s">
        <v>55</v>
      </c>
      <c r="O21" s="2" t="s">
        <v>198</v>
      </c>
      <c r="P21" s="2" t="s">
        <v>55</v>
      </c>
      <c r="Q21" s="3" t="str">
        <f t="shared" si="1"/>
        <v/>
      </c>
      <c r="R21" s="3" t="str">
        <f t="shared" si="2"/>
        <v/>
      </c>
      <c r="S21" s="3" t="str">
        <f t="shared" si="3"/>
        <v/>
      </c>
      <c r="T21" s="3" t="str">
        <f t="shared" si="4"/>
        <v/>
      </c>
      <c r="U21" s="3">
        <f t="shared" si="12"/>
        <v>100</v>
      </c>
      <c r="V21" s="3">
        <f t="shared" si="6"/>
        <v>100</v>
      </c>
      <c r="W21" s="3">
        <f t="shared" si="7"/>
        <v>100</v>
      </c>
      <c r="X21" s="3" t="str">
        <f t="shared" si="8"/>
        <v/>
      </c>
      <c r="Y21" s="3" t="str">
        <f t="shared" si="9"/>
        <v/>
      </c>
      <c r="Z21" s="3" t="str">
        <f t="shared" si="10"/>
        <v/>
      </c>
      <c r="AA21" s="3">
        <f t="shared" si="11"/>
        <v>0</v>
      </c>
    </row>
    <row r="22">
      <c r="A22" s="1" t="s">
        <v>199</v>
      </c>
      <c r="B22" s="2" t="s">
        <v>28</v>
      </c>
      <c r="C22" s="2" t="s">
        <v>200</v>
      </c>
      <c r="D22" s="2" t="s">
        <v>201</v>
      </c>
      <c r="E22" s="2" t="s">
        <v>202</v>
      </c>
      <c r="F22" s="2" t="s">
        <v>55</v>
      </c>
      <c r="G22" s="2" t="s">
        <v>203</v>
      </c>
      <c r="H22" s="2" t="s">
        <v>204</v>
      </c>
      <c r="I22" s="1" t="s">
        <v>112</v>
      </c>
      <c r="J22" s="1" t="s">
        <v>112</v>
      </c>
      <c r="K22" s="1" t="s">
        <v>112</v>
      </c>
      <c r="L22" s="1" t="s">
        <v>112</v>
      </c>
      <c r="M22" s="1" t="s">
        <v>112</v>
      </c>
      <c r="N22" s="1" t="s">
        <v>112</v>
      </c>
      <c r="O22" s="1" t="s">
        <v>112</v>
      </c>
      <c r="P22" s="1" t="s">
        <v>112</v>
      </c>
      <c r="Q22" s="3">
        <f t="shared" si="1"/>
        <v>1</v>
      </c>
      <c r="R22" s="3">
        <f t="shared" si="2"/>
        <v>0</v>
      </c>
      <c r="S22" s="3" t="str">
        <f t="shared" si="3"/>
        <v/>
      </c>
      <c r="T22" s="3" t="str">
        <f t="shared" si="4"/>
        <v/>
      </c>
      <c r="U22" s="3">
        <f t="shared" si="12"/>
        <v>98</v>
      </c>
      <c r="V22" s="3">
        <f t="shared" si="6"/>
        <v>0</v>
      </c>
      <c r="W22" s="3">
        <f t="shared" si="7"/>
        <v>0</v>
      </c>
      <c r="X22" s="3" t="str">
        <f t="shared" si="8"/>
        <v/>
      </c>
      <c r="Y22" s="3" t="str">
        <f t="shared" si="9"/>
        <v/>
      </c>
      <c r="Z22" s="3" t="str">
        <f t="shared" si="10"/>
        <v/>
      </c>
      <c r="AA22" s="3">
        <f t="shared" si="11"/>
        <v>0</v>
      </c>
    </row>
    <row r="23">
      <c r="A23" s="1" t="s">
        <v>199</v>
      </c>
      <c r="B23" s="2" t="s">
        <v>205</v>
      </c>
      <c r="C23" s="2" t="s">
        <v>206</v>
      </c>
      <c r="D23" s="2" t="s">
        <v>207</v>
      </c>
      <c r="E23" s="2" t="s">
        <v>202</v>
      </c>
      <c r="F23" s="2" t="s">
        <v>55</v>
      </c>
      <c r="G23" s="2" t="s">
        <v>203</v>
      </c>
      <c r="H23" s="2" t="s">
        <v>204</v>
      </c>
      <c r="I23" s="1" t="s">
        <v>112</v>
      </c>
      <c r="J23" s="1" t="s">
        <v>112</v>
      </c>
      <c r="K23" s="1" t="s">
        <v>112</v>
      </c>
      <c r="L23" s="1" t="s">
        <v>112</v>
      </c>
      <c r="M23" s="1" t="s">
        <v>112</v>
      </c>
      <c r="N23" s="1" t="s">
        <v>112</v>
      </c>
      <c r="O23" s="1" t="s">
        <v>112</v>
      </c>
      <c r="P23" s="1" t="s">
        <v>112</v>
      </c>
      <c r="Q23" s="3" t="str">
        <f t="shared" si="1"/>
        <v/>
      </c>
      <c r="R23" s="3" t="str">
        <f t="shared" si="2"/>
        <v/>
      </c>
      <c r="S23" s="3" t="str">
        <f t="shared" si="3"/>
        <v/>
      </c>
      <c r="T23" s="3" t="str">
        <f t="shared" si="4"/>
        <v/>
      </c>
      <c r="U23" s="3">
        <f t="shared" si="12"/>
        <v>98</v>
      </c>
      <c r="V23" s="3">
        <f t="shared" si="6"/>
        <v>0</v>
      </c>
      <c r="W23" s="3">
        <f t="shared" si="7"/>
        <v>0</v>
      </c>
      <c r="X23" s="3" t="str">
        <f t="shared" si="8"/>
        <v/>
      </c>
      <c r="Y23" s="3" t="str">
        <f t="shared" si="9"/>
        <v/>
      </c>
      <c r="Z23" s="3" t="str">
        <f t="shared" si="10"/>
        <v/>
      </c>
      <c r="AA23" s="3">
        <f t="shared" si="11"/>
        <v>0</v>
      </c>
    </row>
    <row r="24">
      <c r="A24" s="1" t="s">
        <v>208</v>
      </c>
      <c r="B24" s="2" t="s">
        <v>28</v>
      </c>
      <c r="C24" s="2" t="s">
        <v>209</v>
      </c>
      <c r="D24" s="2" t="s">
        <v>210</v>
      </c>
      <c r="E24" s="2" t="s">
        <v>211</v>
      </c>
      <c r="F24" s="2" t="s">
        <v>55</v>
      </c>
      <c r="G24" s="2" t="s">
        <v>212</v>
      </c>
      <c r="H24" s="2" t="s">
        <v>55</v>
      </c>
      <c r="I24" s="2" t="s">
        <v>54</v>
      </c>
      <c r="J24" s="2" t="s">
        <v>55</v>
      </c>
      <c r="K24" s="2" t="s">
        <v>55</v>
      </c>
      <c r="L24" s="2" t="s">
        <v>55</v>
      </c>
      <c r="M24" s="2" t="s">
        <v>213</v>
      </c>
      <c r="N24" s="2" t="s">
        <v>55</v>
      </c>
      <c r="O24" s="2" t="s">
        <v>214</v>
      </c>
      <c r="P24" s="2" t="s">
        <v>55</v>
      </c>
      <c r="Q24" s="3">
        <f t="shared" si="1"/>
        <v>5</v>
      </c>
      <c r="R24" s="3">
        <f t="shared" si="2"/>
        <v>-0.00003877</v>
      </c>
      <c r="S24" s="3">
        <f t="shared" si="3"/>
        <v>0</v>
      </c>
      <c r="T24" s="3">
        <f t="shared" si="4"/>
        <v>0</v>
      </c>
      <c r="U24" s="3">
        <f t="shared" si="12"/>
        <v>100</v>
      </c>
      <c r="V24" s="3">
        <f t="shared" si="6"/>
        <v>100</v>
      </c>
      <c r="W24" s="3">
        <f t="shared" si="7"/>
        <v>100</v>
      </c>
      <c r="X24" s="3" t="str">
        <f t="shared" si="8"/>
        <v>full access</v>
      </c>
      <c r="Y24" s="3" t="str">
        <f t="shared" si="9"/>
        <v>full access</v>
      </c>
      <c r="Z24" s="3" t="str">
        <f t="shared" si="10"/>
        <v>full access</v>
      </c>
      <c r="AA24" s="3">
        <f t="shared" si="11"/>
        <v>0</v>
      </c>
    </row>
    <row r="25">
      <c r="A25" s="1" t="s">
        <v>208</v>
      </c>
      <c r="B25" s="2" t="s">
        <v>43</v>
      </c>
      <c r="C25" s="2" t="s">
        <v>215</v>
      </c>
      <c r="D25" s="2" t="s">
        <v>216</v>
      </c>
      <c r="E25" s="2" t="s">
        <v>217</v>
      </c>
      <c r="F25" s="2" t="s">
        <v>55</v>
      </c>
      <c r="G25" s="2" t="s">
        <v>218</v>
      </c>
      <c r="H25" s="2" t="s">
        <v>55</v>
      </c>
      <c r="I25" s="2" t="s">
        <v>54</v>
      </c>
      <c r="J25" s="2" t="s">
        <v>55</v>
      </c>
      <c r="K25" s="2" t="s">
        <v>55</v>
      </c>
      <c r="L25" s="2" t="s">
        <v>55</v>
      </c>
      <c r="M25" s="2" t="s">
        <v>213</v>
      </c>
      <c r="N25" s="2" t="s">
        <v>55</v>
      </c>
      <c r="O25" s="2" t="s">
        <v>214</v>
      </c>
      <c r="P25" s="2" t="s">
        <v>55</v>
      </c>
      <c r="Q25" s="3" t="str">
        <f t="shared" si="1"/>
        <v/>
      </c>
      <c r="R25" s="3" t="str">
        <f t="shared" si="2"/>
        <v/>
      </c>
      <c r="S25" s="3" t="str">
        <f t="shared" si="3"/>
        <v/>
      </c>
      <c r="T25" s="3" t="str">
        <f t="shared" si="4"/>
        <v/>
      </c>
      <c r="U25" s="3">
        <f t="shared" si="12"/>
        <v>100</v>
      </c>
      <c r="V25" s="3">
        <f t="shared" si="6"/>
        <v>100</v>
      </c>
      <c r="W25" s="3">
        <f t="shared" si="7"/>
        <v>100</v>
      </c>
      <c r="X25" s="3" t="str">
        <f t="shared" si="8"/>
        <v/>
      </c>
      <c r="Y25" s="3" t="str">
        <f t="shared" si="9"/>
        <v/>
      </c>
      <c r="Z25" s="3" t="str">
        <f t="shared" si="10"/>
        <v/>
      </c>
      <c r="AA25" s="3">
        <f t="shared" si="11"/>
        <v>0</v>
      </c>
    </row>
    <row r="26">
      <c r="A26" s="1" t="s">
        <v>219</v>
      </c>
      <c r="B26" s="2" t="s">
        <v>28</v>
      </c>
      <c r="C26" s="2" t="s">
        <v>220</v>
      </c>
      <c r="D26" s="2" t="s">
        <v>221</v>
      </c>
      <c r="E26" s="2" t="s">
        <v>54</v>
      </c>
      <c r="F26" s="2" t="s">
        <v>55</v>
      </c>
      <c r="G26" s="2" t="s">
        <v>55</v>
      </c>
      <c r="H26" s="2" t="s">
        <v>55</v>
      </c>
      <c r="I26" s="2" t="s">
        <v>54</v>
      </c>
      <c r="J26" s="2" t="s">
        <v>55</v>
      </c>
      <c r="K26" s="2" t="s">
        <v>55</v>
      </c>
      <c r="L26" s="2" t="s">
        <v>55</v>
      </c>
      <c r="M26" s="2" t="s">
        <v>54</v>
      </c>
      <c r="N26" s="2" t="s">
        <v>55</v>
      </c>
      <c r="O26" s="2" t="s">
        <v>55</v>
      </c>
      <c r="P26" s="2" t="s">
        <v>55</v>
      </c>
      <c r="Q26" s="3">
        <f t="shared" si="1"/>
        <v>5</v>
      </c>
      <c r="R26" s="3">
        <f t="shared" si="2"/>
        <v>0</v>
      </c>
      <c r="S26" s="3">
        <f t="shared" si="3"/>
        <v>0</v>
      </c>
      <c r="T26" s="3">
        <f t="shared" si="4"/>
        <v>0</v>
      </c>
      <c r="U26" s="3">
        <f t="shared" si="12"/>
        <v>100</v>
      </c>
      <c r="V26" s="3">
        <f t="shared" si="6"/>
        <v>100</v>
      </c>
      <c r="W26" s="3">
        <f t="shared" si="7"/>
        <v>100</v>
      </c>
      <c r="X26" s="3" t="str">
        <f t="shared" si="8"/>
        <v>full access</v>
      </c>
      <c r="Y26" s="3" t="str">
        <f t="shared" si="9"/>
        <v>full access</v>
      </c>
      <c r="Z26" s="3" t="str">
        <f t="shared" si="10"/>
        <v>full access</v>
      </c>
      <c r="AA26" s="3">
        <f t="shared" si="11"/>
        <v>0</v>
      </c>
    </row>
    <row r="27">
      <c r="A27" s="1" t="s">
        <v>219</v>
      </c>
      <c r="B27" s="2" t="s">
        <v>43</v>
      </c>
      <c r="C27" s="2" t="s">
        <v>222</v>
      </c>
      <c r="D27" s="2" t="s">
        <v>223</v>
      </c>
      <c r="E27" s="2" t="s">
        <v>54</v>
      </c>
      <c r="F27" s="2" t="s">
        <v>55</v>
      </c>
      <c r="G27" s="2" t="s">
        <v>55</v>
      </c>
      <c r="H27" s="2" t="s">
        <v>55</v>
      </c>
      <c r="I27" s="2" t="s">
        <v>54</v>
      </c>
      <c r="J27" s="2" t="s">
        <v>55</v>
      </c>
      <c r="K27" s="2" t="s">
        <v>55</v>
      </c>
      <c r="L27" s="2" t="s">
        <v>55</v>
      </c>
      <c r="M27" s="2" t="s">
        <v>54</v>
      </c>
      <c r="N27" s="2" t="s">
        <v>55</v>
      </c>
      <c r="O27" s="2" t="s">
        <v>55</v>
      </c>
      <c r="P27" s="2" t="s">
        <v>55</v>
      </c>
      <c r="Q27" s="3" t="str">
        <f t="shared" si="1"/>
        <v/>
      </c>
      <c r="R27" s="3" t="str">
        <f t="shared" si="2"/>
        <v/>
      </c>
      <c r="S27" s="3" t="str">
        <f t="shared" si="3"/>
        <v/>
      </c>
      <c r="T27" s="3" t="str">
        <f t="shared" si="4"/>
        <v/>
      </c>
      <c r="U27" s="3">
        <f t="shared" si="12"/>
        <v>100</v>
      </c>
      <c r="V27" s="3">
        <f t="shared" si="6"/>
        <v>100</v>
      </c>
      <c r="W27" s="3">
        <f t="shared" si="7"/>
        <v>100</v>
      </c>
      <c r="X27" s="3" t="str">
        <f t="shared" si="8"/>
        <v/>
      </c>
      <c r="Y27" s="3" t="str">
        <f t="shared" si="9"/>
        <v/>
      </c>
      <c r="Z27" s="3" t="str">
        <f t="shared" si="10"/>
        <v/>
      </c>
      <c r="AA27" s="3">
        <f t="shared" si="11"/>
        <v>0</v>
      </c>
    </row>
    <row r="28">
      <c r="A28" s="1" t="s">
        <v>224</v>
      </c>
      <c r="B28" s="2" t="s">
        <v>28</v>
      </c>
      <c r="C28" s="2" t="s">
        <v>225</v>
      </c>
      <c r="D28" s="2" t="s">
        <v>226</v>
      </c>
      <c r="E28" s="2" t="s">
        <v>227</v>
      </c>
      <c r="F28" s="2" t="s">
        <v>228</v>
      </c>
      <c r="G28" s="2" t="s">
        <v>229</v>
      </c>
      <c r="H28" s="2" t="s">
        <v>230</v>
      </c>
      <c r="I28" s="2" t="s">
        <v>231</v>
      </c>
      <c r="J28" s="2" t="s">
        <v>232</v>
      </c>
      <c r="K28" s="2" t="s">
        <v>233</v>
      </c>
      <c r="L28" s="2" t="s">
        <v>234</v>
      </c>
      <c r="M28" s="2" t="s">
        <v>235</v>
      </c>
      <c r="N28" s="2" t="s">
        <v>55</v>
      </c>
      <c r="O28" s="2" t="s">
        <v>236</v>
      </c>
      <c r="P28" s="2" t="s">
        <v>237</v>
      </c>
      <c r="Q28" s="3">
        <f t="shared" si="1"/>
        <v>5</v>
      </c>
      <c r="R28" s="3">
        <f t="shared" si="2"/>
        <v>0.72461243</v>
      </c>
      <c r="S28" s="3">
        <f t="shared" si="3"/>
        <v>1.356516936</v>
      </c>
      <c r="T28" s="3">
        <f t="shared" si="4"/>
        <v>0.145769594</v>
      </c>
      <c r="U28" s="3">
        <f t="shared" si="12"/>
        <v>92</v>
      </c>
      <c r="V28" s="3">
        <f t="shared" si="6"/>
        <v>84</v>
      </c>
      <c r="W28" s="3">
        <f t="shared" si="7"/>
        <v>99</v>
      </c>
      <c r="X28" s="3" t="str">
        <f t="shared" si="8"/>
        <v/>
      </c>
      <c r="Y28" s="3" t="str">
        <f t="shared" si="9"/>
        <v/>
      </c>
      <c r="Z28" s="3" t="str">
        <f t="shared" si="10"/>
        <v/>
      </c>
      <c r="AA28" s="3">
        <f t="shared" si="11"/>
        <v>1.210747342</v>
      </c>
    </row>
    <row r="29">
      <c r="A29" s="1" t="s">
        <v>224</v>
      </c>
      <c r="B29" s="2" t="s">
        <v>43</v>
      </c>
      <c r="C29" s="2" t="s">
        <v>238</v>
      </c>
      <c r="D29" s="2" t="s">
        <v>239</v>
      </c>
      <c r="E29" s="2" t="s">
        <v>240</v>
      </c>
      <c r="F29" s="2" t="s">
        <v>241</v>
      </c>
      <c r="G29" s="2" t="s">
        <v>242</v>
      </c>
      <c r="H29" s="2" t="s">
        <v>55</v>
      </c>
      <c r="I29" s="2" t="s">
        <v>243</v>
      </c>
      <c r="J29" s="2" t="s">
        <v>244</v>
      </c>
      <c r="K29" s="2" t="s">
        <v>245</v>
      </c>
      <c r="L29" s="2" t="s">
        <v>55</v>
      </c>
      <c r="M29" s="2" t="s">
        <v>54</v>
      </c>
      <c r="N29" s="2" t="s">
        <v>55</v>
      </c>
      <c r="O29" s="2" t="s">
        <v>55</v>
      </c>
      <c r="P29" s="2" t="s">
        <v>55</v>
      </c>
      <c r="Q29" s="3" t="str">
        <f t="shared" si="1"/>
        <v/>
      </c>
      <c r="R29" s="3" t="str">
        <f t="shared" si="2"/>
        <v/>
      </c>
      <c r="S29" s="3" t="str">
        <f t="shared" si="3"/>
        <v/>
      </c>
      <c r="T29" s="3" t="str">
        <f t="shared" si="4"/>
        <v/>
      </c>
      <c r="U29" s="3">
        <f t="shared" si="12"/>
        <v>96</v>
      </c>
      <c r="V29" s="3">
        <f t="shared" si="6"/>
        <v>91</v>
      </c>
      <c r="W29" s="3">
        <f t="shared" si="7"/>
        <v>100</v>
      </c>
      <c r="X29" s="3" t="str">
        <f t="shared" si="8"/>
        <v/>
      </c>
      <c r="Y29" s="3" t="str">
        <f t="shared" si="9"/>
        <v/>
      </c>
      <c r="Z29" s="3" t="str">
        <f t="shared" si="10"/>
        <v/>
      </c>
      <c r="AA29" s="3">
        <f t="shared" si="11"/>
        <v>0</v>
      </c>
    </row>
    <row r="30">
      <c r="A30" s="1" t="s">
        <v>246</v>
      </c>
      <c r="B30" s="2" t="s">
        <v>28</v>
      </c>
      <c r="C30" s="2" t="s">
        <v>247</v>
      </c>
      <c r="D30" s="2" t="s">
        <v>248</v>
      </c>
      <c r="E30" s="2" t="s">
        <v>249</v>
      </c>
      <c r="F30" s="2" t="s">
        <v>55</v>
      </c>
      <c r="G30" s="2" t="s">
        <v>250</v>
      </c>
      <c r="H30" s="2" t="s">
        <v>55</v>
      </c>
      <c r="I30" s="1" t="s">
        <v>112</v>
      </c>
      <c r="J30" s="1" t="s">
        <v>112</v>
      </c>
      <c r="K30" s="1" t="s">
        <v>112</v>
      </c>
      <c r="L30" s="1" t="s">
        <v>112</v>
      </c>
      <c r="M30" s="1" t="s">
        <v>112</v>
      </c>
      <c r="N30" s="1" t="s">
        <v>112</v>
      </c>
      <c r="O30" s="1" t="s">
        <v>112</v>
      </c>
      <c r="P30" s="1" t="s">
        <v>112</v>
      </c>
      <c r="Q30" s="3">
        <f t="shared" si="1"/>
        <v>4</v>
      </c>
      <c r="R30" s="3">
        <f t="shared" si="2"/>
        <v>0</v>
      </c>
      <c r="S30" s="3" t="str">
        <f t="shared" si="3"/>
        <v/>
      </c>
      <c r="T30" s="3" t="str">
        <f t="shared" si="4"/>
        <v/>
      </c>
      <c r="U30" s="3">
        <f t="shared" si="12"/>
        <v>99</v>
      </c>
      <c r="V30" s="3">
        <f t="shared" si="6"/>
        <v>0</v>
      </c>
      <c r="W30" s="3">
        <f t="shared" si="7"/>
        <v>0</v>
      </c>
      <c r="X30" s="3" t="str">
        <f t="shared" si="8"/>
        <v/>
      </c>
      <c r="Y30" s="3" t="str">
        <f t="shared" si="9"/>
        <v/>
      </c>
      <c r="Z30" s="3" t="str">
        <f t="shared" si="10"/>
        <v/>
      </c>
      <c r="AA30" s="3">
        <f t="shared" si="11"/>
        <v>0</v>
      </c>
    </row>
    <row r="31">
      <c r="A31" s="1" t="s">
        <v>246</v>
      </c>
      <c r="B31" s="2" t="s">
        <v>251</v>
      </c>
      <c r="C31" s="2" t="s">
        <v>252</v>
      </c>
      <c r="D31" s="2" t="s">
        <v>253</v>
      </c>
      <c r="E31" s="2" t="s">
        <v>249</v>
      </c>
      <c r="F31" s="2" t="s">
        <v>55</v>
      </c>
      <c r="G31" s="2" t="s">
        <v>250</v>
      </c>
      <c r="H31" s="2" t="s">
        <v>55</v>
      </c>
      <c r="I31" s="1" t="s">
        <v>112</v>
      </c>
      <c r="J31" s="1" t="s">
        <v>112</v>
      </c>
      <c r="K31" s="1" t="s">
        <v>112</v>
      </c>
      <c r="L31" s="1" t="s">
        <v>112</v>
      </c>
      <c r="M31" s="1" t="s">
        <v>112</v>
      </c>
      <c r="N31" s="1" t="s">
        <v>112</v>
      </c>
      <c r="O31" s="1" t="s">
        <v>112</v>
      </c>
      <c r="P31" s="1" t="s">
        <v>112</v>
      </c>
      <c r="Q31" s="3" t="str">
        <f t="shared" si="1"/>
        <v/>
      </c>
      <c r="R31" s="3" t="str">
        <f t="shared" si="2"/>
        <v/>
      </c>
      <c r="S31" s="3" t="str">
        <f t="shared" si="3"/>
        <v/>
      </c>
      <c r="T31" s="3" t="str">
        <f t="shared" si="4"/>
        <v/>
      </c>
      <c r="U31" s="3">
        <f t="shared" si="12"/>
        <v>99</v>
      </c>
      <c r="V31" s="3">
        <f t="shared" si="6"/>
        <v>0</v>
      </c>
      <c r="W31" s="3">
        <f t="shared" si="7"/>
        <v>0</v>
      </c>
      <c r="X31" s="3" t="str">
        <f t="shared" si="8"/>
        <v/>
      </c>
      <c r="Y31" s="3" t="str">
        <f t="shared" si="9"/>
        <v/>
      </c>
      <c r="Z31" s="3" t="str">
        <f t="shared" si="10"/>
        <v/>
      </c>
      <c r="AA31" s="3">
        <f t="shared" si="11"/>
        <v>0</v>
      </c>
    </row>
    <row r="32">
      <c r="A32" s="1" t="s">
        <v>254</v>
      </c>
      <c r="B32" s="2" t="s">
        <v>28</v>
      </c>
      <c r="C32" s="2" t="s">
        <v>255</v>
      </c>
      <c r="D32" s="2" t="s">
        <v>256</v>
      </c>
      <c r="E32" s="2" t="s">
        <v>54</v>
      </c>
      <c r="F32" s="2" t="s">
        <v>55</v>
      </c>
      <c r="G32" s="2" t="s">
        <v>55</v>
      </c>
      <c r="H32" s="2" t="s">
        <v>55</v>
      </c>
      <c r="I32" s="1" t="s">
        <v>112</v>
      </c>
      <c r="J32" s="1" t="s">
        <v>112</v>
      </c>
      <c r="K32" s="1" t="s">
        <v>112</v>
      </c>
      <c r="L32" s="1" t="s">
        <v>112</v>
      </c>
      <c r="M32" s="1" t="s">
        <v>112</v>
      </c>
      <c r="N32" s="1" t="s">
        <v>112</v>
      </c>
      <c r="O32" s="1" t="s">
        <v>112</v>
      </c>
      <c r="P32" s="1" t="s">
        <v>112</v>
      </c>
      <c r="Q32" s="3">
        <f t="shared" si="1"/>
        <v>5</v>
      </c>
      <c r="R32" s="3">
        <f t="shared" si="2"/>
        <v>0</v>
      </c>
      <c r="S32" s="3" t="str">
        <f t="shared" si="3"/>
        <v/>
      </c>
      <c r="T32" s="3" t="str">
        <f t="shared" si="4"/>
        <v/>
      </c>
      <c r="U32" s="3">
        <f t="shared" si="12"/>
        <v>100</v>
      </c>
      <c r="V32" s="3">
        <f t="shared" si="6"/>
        <v>0</v>
      </c>
      <c r="W32" s="3">
        <f t="shared" si="7"/>
        <v>0</v>
      </c>
      <c r="X32" s="3" t="str">
        <f t="shared" si="8"/>
        <v>full access</v>
      </c>
      <c r="Y32" s="3" t="str">
        <f t="shared" si="9"/>
        <v/>
      </c>
      <c r="Z32" s="3" t="str">
        <f t="shared" si="10"/>
        <v/>
      </c>
      <c r="AA32" s="3">
        <f t="shared" si="11"/>
        <v>0</v>
      </c>
    </row>
    <row r="33">
      <c r="A33" s="1" t="s">
        <v>254</v>
      </c>
      <c r="B33" s="2" t="s">
        <v>43</v>
      </c>
      <c r="C33" s="2" t="s">
        <v>257</v>
      </c>
      <c r="D33" s="2" t="s">
        <v>258</v>
      </c>
      <c r="E33" s="2" t="s">
        <v>54</v>
      </c>
      <c r="F33" s="2" t="s">
        <v>55</v>
      </c>
      <c r="G33" s="2" t="s">
        <v>55</v>
      </c>
      <c r="H33" s="2" t="s">
        <v>55</v>
      </c>
      <c r="I33" s="1" t="s">
        <v>112</v>
      </c>
      <c r="J33" s="1" t="s">
        <v>112</v>
      </c>
      <c r="K33" s="1" t="s">
        <v>112</v>
      </c>
      <c r="L33" s="1" t="s">
        <v>112</v>
      </c>
      <c r="M33" s="1" t="s">
        <v>112</v>
      </c>
      <c r="N33" s="1" t="s">
        <v>112</v>
      </c>
      <c r="O33" s="1" t="s">
        <v>112</v>
      </c>
      <c r="P33" s="1" t="s">
        <v>112</v>
      </c>
      <c r="Q33" s="3" t="str">
        <f t="shared" si="1"/>
        <v/>
      </c>
      <c r="R33" s="3" t="str">
        <f t="shared" si="2"/>
        <v/>
      </c>
      <c r="S33" s="3" t="str">
        <f t="shared" si="3"/>
        <v/>
      </c>
      <c r="T33" s="3" t="str">
        <f t="shared" si="4"/>
        <v/>
      </c>
      <c r="U33" s="3">
        <f t="shared" si="12"/>
        <v>100</v>
      </c>
      <c r="V33" s="3">
        <f t="shared" si="6"/>
        <v>0</v>
      </c>
      <c r="W33" s="3">
        <f t="shared" si="7"/>
        <v>0</v>
      </c>
      <c r="X33" s="3" t="str">
        <f t="shared" si="8"/>
        <v/>
      </c>
      <c r="Y33" s="3" t="str">
        <f t="shared" si="9"/>
        <v/>
      </c>
      <c r="Z33" s="3" t="str">
        <f t="shared" si="10"/>
        <v/>
      </c>
      <c r="AA33" s="3">
        <f t="shared" si="11"/>
        <v>0</v>
      </c>
    </row>
    <row r="34">
      <c r="A34" s="1" t="s">
        <v>259</v>
      </c>
      <c r="B34" s="2" t="s">
        <v>28</v>
      </c>
      <c r="C34" s="2" t="s">
        <v>260</v>
      </c>
      <c r="D34" s="2" t="s">
        <v>261</v>
      </c>
      <c r="E34" s="2" t="s">
        <v>262</v>
      </c>
      <c r="F34" s="2" t="s">
        <v>263</v>
      </c>
      <c r="G34" s="2" t="s">
        <v>264</v>
      </c>
      <c r="H34" s="2" t="s">
        <v>265</v>
      </c>
      <c r="I34" s="2" t="s">
        <v>266</v>
      </c>
      <c r="J34" s="2" t="s">
        <v>267</v>
      </c>
      <c r="K34" s="2" t="s">
        <v>268</v>
      </c>
      <c r="L34" s="2" t="s">
        <v>269</v>
      </c>
      <c r="M34" s="2" t="s">
        <v>270</v>
      </c>
      <c r="N34" s="2" t="s">
        <v>271</v>
      </c>
      <c r="O34" s="2" t="s">
        <v>272</v>
      </c>
      <c r="P34" s="2" t="s">
        <v>273</v>
      </c>
      <c r="Q34" s="3">
        <f t="shared" si="1"/>
        <v>5</v>
      </c>
      <c r="R34" s="3">
        <f t="shared" si="2"/>
        <v>0.119271556</v>
      </c>
      <c r="S34" s="3">
        <f t="shared" si="3"/>
        <v>0.221445296</v>
      </c>
      <c r="T34" s="3">
        <f t="shared" si="4"/>
        <v>-0.065600342</v>
      </c>
      <c r="U34" s="3">
        <f t="shared" si="12"/>
        <v>97</v>
      </c>
      <c r="V34" s="3">
        <f t="shared" si="6"/>
        <v>97</v>
      </c>
      <c r="W34" s="3">
        <f t="shared" si="7"/>
        <v>98</v>
      </c>
      <c r="X34" s="3" t="str">
        <f t="shared" si="8"/>
        <v/>
      </c>
      <c r="Y34" s="3" t="str">
        <f t="shared" si="9"/>
        <v/>
      </c>
      <c r="Z34" s="3" t="str">
        <f t="shared" si="10"/>
        <v/>
      </c>
      <c r="AA34" s="3">
        <f t="shared" si="11"/>
        <v>0.287045638</v>
      </c>
    </row>
    <row r="35">
      <c r="A35" s="1" t="s">
        <v>259</v>
      </c>
      <c r="B35" s="2" t="s">
        <v>43</v>
      </c>
      <c r="C35" s="2" t="s">
        <v>274</v>
      </c>
      <c r="D35" s="2" t="s">
        <v>275</v>
      </c>
      <c r="E35" s="2" t="s">
        <v>276</v>
      </c>
      <c r="F35" s="2" t="s">
        <v>277</v>
      </c>
      <c r="G35" s="2" t="s">
        <v>278</v>
      </c>
      <c r="H35" s="2" t="s">
        <v>279</v>
      </c>
      <c r="I35" s="2" t="s">
        <v>280</v>
      </c>
      <c r="J35" s="2" t="s">
        <v>281</v>
      </c>
      <c r="K35" s="2" t="s">
        <v>282</v>
      </c>
      <c r="L35" s="2" t="s">
        <v>283</v>
      </c>
      <c r="M35" s="2" t="s">
        <v>284</v>
      </c>
      <c r="N35" s="2" t="s">
        <v>285</v>
      </c>
      <c r="O35" s="2" t="s">
        <v>286</v>
      </c>
      <c r="P35" s="2" t="s">
        <v>287</v>
      </c>
      <c r="Q35" s="3" t="str">
        <f t="shared" si="1"/>
        <v/>
      </c>
      <c r="R35" s="3" t="str">
        <f t="shared" si="2"/>
        <v/>
      </c>
      <c r="S35" s="3" t="str">
        <f t="shared" si="3"/>
        <v/>
      </c>
      <c r="T35" s="3" t="str">
        <f t="shared" si="4"/>
        <v/>
      </c>
      <c r="U35" s="3">
        <f t="shared" si="12"/>
        <v>98</v>
      </c>
      <c r="V35" s="3">
        <f t="shared" si="6"/>
        <v>98</v>
      </c>
      <c r="W35" s="3">
        <f t="shared" si="7"/>
        <v>97</v>
      </c>
      <c r="X35" s="3" t="str">
        <f t="shared" si="8"/>
        <v/>
      </c>
      <c r="Y35" s="3" t="str">
        <f t="shared" si="9"/>
        <v/>
      </c>
      <c r="Z35" s="3" t="str">
        <f t="shared" si="10"/>
        <v/>
      </c>
      <c r="AA35" s="3">
        <f t="shared" si="11"/>
        <v>0</v>
      </c>
    </row>
    <row r="36">
      <c r="A36" s="1" t="s">
        <v>288</v>
      </c>
      <c r="B36" s="2" t="s">
        <v>28</v>
      </c>
      <c r="C36" s="2" t="s">
        <v>289</v>
      </c>
      <c r="D36" s="2" t="s">
        <v>290</v>
      </c>
      <c r="E36" s="2" t="s">
        <v>291</v>
      </c>
      <c r="F36" s="2" t="s">
        <v>292</v>
      </c>
      <c r="G36" s="2" t="s">
        <v>293</v>
      </c>
      <c r="H36" s="2" t="s">
        <v>55</v>
      </c>
      <c r="I36" s="1" t="s">
        <v>112</v>
      </c>
      <c r="J36" s="1" t="s">
        <v>112</v>
      </c>
      <c r="K36" s="1" t="s">
        <v>112</v>
      </c>
      <c r="L36" s="1" t="s">
        <v>112</v>
      </c>
      <c r="M36" s="1" t="s">
        <v>112</v>
      </c>
      <c r="N36" s="1" t="s">
        <v>112</v>
      </c>
      <c r="O36" s="1" t="s">
        <v>112</v>
      </c>
      <c r="P36" s="1" t="s">
        <v>112</v>
      </c>
      <c r="Q36" s="3">
        <f t="shared" si="1"/>
        <v>5</v>
      </c>
      <c r="R36" s="3">
        <f t="shared" si="2"/>
        <v>0.008001136</v>
      </c>
      <c r="S36" s="3" t="str">
        <f t="shared" si="3"/>
        <v/>
      </c>
      <c r="T36" s="3" t="str">
        <f t="shared" si="4"/>
        <v/>
      </c>
      <c r="U36" s="3">
        <f t="shared" si="12"/>
        <v>98</v>
      </c>
      <c r="V36" s="3">
        <f t="shared" si="6"/>
        <v>0</v>
      </c>
      <c r="W36" s="3">
        <f t="shared" si="7"/>
        <v>0</v>
      </c>
      <c r="X36" s="3" t="str">
        <f t="shared" si="8"/>
        <v/>
      </c>
      <c r="Y36" s="3" t="str">
        <f t="shared" si="9"/>
        <v/>
      </c>
      <c r="Z36" s="3" t="str">
        <f t="shared" si="10"/>
        <v/>
      </c>
      <c r="AA36" s="3">
        <f t="shared" si="11"/>
        <v>0</v>
      </c>
    </row>
    <row r="37">
      <c r="A37" s="1" t="s">
        <v>288</v>
      </c>
      <c r="B37" s="2" t="s">
        <v>43</v>
      </c>
      <c r="C37" s="2" t="s">
        <v>294</v>
      </c>
      <c r="D37" s="2" t="s">
        <v>295</v>
      </c>
      <c r="E37" s="2" t="s">
        <v>296</v>
      </c>
      <c r="F37" s="2" t="s">
        <v>297</v>
      </c>
      <c r="G37" s="2" t="s">
        <v>298</v>
      </c>
      <c r="H37" s="2" t="s">
        <v>55</v>
      </c>
      <c r="I37" s="1" t="s">
        <v>112</v>
      </c>
      <c r="J37" s="1" t="s">
        <v>112</v>
      </c>
      <c r="K37" s="1" t="s">
        <v>112</v>
      </c>
      <c r="L37" s="1" t="s">
        <v>112</v>
      </c>
      <c r="M37" s="1" t="s">
        <v>112</v>
      </c>
      <c r="N37" s="1" t="s">
        <v>112</v>
      </c>
      <c r="O37" s="1" t="s">
        <v>112</v>
      </c>
      <c r="P37" s="1" t="s">
        <v>112</v>
      </c>
      <c r="Q37" s="3" t="str">
        <f t="shared" si="1"/>
        <v/>
      </c>
      <c r="R37" s="3" t="str">
        <f t="shared" si="2"/>
        <v/>
      </c>
      <c r="S37" s="3" t="str">
        <f t="shared" si="3"/>
        <v/>
      </c>
      <c r="T37" s="3" t="str">
        <f t="shared" si="4"/>
        <v/>
      </c>
      <c r="U37" s="3">
        <f t="shared" si="12"/>
        <v>99</v>
      </c>
      <c r="V37" s="3">
        <f t="shared" si="6"/>
        <v>0</v>
      </c>
      <c r="W37" s="3">
        <f t="shared" si="7"/>
        <v>0</v>
      </c>
      <c r="X37" s="3" t="str">
        <f t="shared" si="8"/>
        <v/>
      </c>
      <c r="Y37" s="3" t="str">
        <f t="shared" si="9"/>
        <v/>
      </c>
      <c r="Z37" s="3" t="str">
        <f t="shared" si="10"/>
        <v/>
      </c>
      <c r="AA37" s="3">
        <f t="shared" si="11"/>
        <v>0</v>
      </c>
    </row>
    <row r="38">
      <c r="A38" s="1" t="s">
        <v>299</v>
      </c>
      <c r="B38" s="2" t="s">
        <v>28</v>
      </c>
      <c r="C38" s="2" t="s">
        <v>300</v>
      </c>
      <c r="D38" s="2" t="s">
        <v>301</v>
      </c>
      <c r="E38" s="2" t="s">
        <v>302</v>
      </c>
      <c r="F38" s="2" t="s">
        <v>303</v>
      </c>
      <c r="G38" s="2" t="s">
        <v>304</v>
      </c>
      <c r="H38" s="2" t="s">
        <v>55</v>
      </c>
      <c r="I38" s="2" t="s">
        <v>305</v>
      </c>
      <c r="J38" s="2" t="s">
        <v>306</v>
      </c>
      <c r="K38" s="2" t="s">
        <v>307</v>
      </c>
      <c r="L38" s="2" t="s">
        <v>55</v>
      </c>
      <c r="M38" s="2" t="s">
        <v>308</v>
      </c>
      <c r="N38" s="2" t="s">
        <v>309</v>
      </c>
      <c r="O38" s="2" t="s">
        <v>310</v>
      </c>
      <c r="P38" s="2" t="s">
        <v>55</v>
      </c>
      <c r="Q38" s="3">
        <f t="shared" si="1"/>
        <v>5</v>
      </c>
      <c r="R38" s="3">
        <f t="shared" si="2"/>
        <v>0.011531798</v>
      </c>
      <c r="S38" s="3">
        <f t="shared" si="3"/>
        <v>0.046690142</v>
      </c>
      <c r="T38" s="3">
        <f t="shared" si="4"/>
        <v>0.016367688</v>
      </c>
      <c r="U38" s="3">
        <f t="shared" si="12"/>
        <v>96</v>
      </c>
      <c r="V38" s="3">
        <f t="shared" si="6"/>
        <v>98</v>
      </c>
      <c r="W38" s="3">
        <f t="shared" si="7"/>
        <v>96</v>
      </c>
      <c r="X38" s="3" t="str">
        <f t="shared" si="8"/>
        <v/>
      </c>
      <c r="Y38" s="3" t="str">
        <f t="shared" si="9"/>
        <v/>
      </c>
      <c r="Z38" s="3" t="str">
        <f t="shared" si="10"/>
        <v/>
      </c>
      <c r="AA38" s="3">
        <f t="shared" si="11"/>
        <v>0.030322454</v>
      </c>
    </row>
    <row r="39">
      <c r="A39" s="1" t="s">
        <v>299</v>
      </c>
      <c r="B39" s="2" t="s">
        <v>43</v>
      </c>
      <c r="C39" s="2" t="s">
        <v>311</v>
      </c>
      <c r="D39" s="2" t="s">
        <v>312</v>
      </c>
      <c r="E39" s="2" t="s">
        <v>313</v>
      </c>
      <c r="F39" s="2" t="s">
        <v>314</v>
      </c>
      <c r="G39" s="2" t="s">
        <v>315</v>
      </c>
      <c r="H39" s="2" t="s">
        <v>55</v>
      </c>
      <c r="I39" s="2" t="s">
        <v>316</v>
      </c>
      <c r="J39" s="2" t="s">
        <v>317</v>
      </c>
      <c r="K39" s="2" t="s">
        <v>318</v>
      </c>
      <c r="L39" s="2" t="s">
        <v>55</v>
      </c>
      <c r="M39" s="2" t="s">
        <v>319</v>
      </c>
      <c r="N39" s="2" t="s">
        <v>320</v>
      </c>
      <c r="O39" s="2" t="s">
        <v>321</v>
      </c>
      <c r="P39" s="2" t="s">
        <v>55</v>
      </c>
      <c r="Q39" s="3" t="str">
        <f t="shared" si="1"/>
        <v/>
      </c>
      <c r="R39" s="3" t="str">
        <f t="shared" si="2"/>
        <v/>
      </c>
      <c r="S39" s="3" t="str">
        <f t="shared" si="3"/>
        <v/>
      </c>
      <c r="T39" s="3" t="str">
        <f t="shared" si="4"/>
        <v/>
      </c>
      <c r="U39" s="3">
        <f t="shared" si="12"/>
        <v>97</v>
      </c>
      <c r="V39" s="3">
        <f t="shared" si="6"/>
        <v>99</v>
      </c>
      <c r="W39" s="3">
        <f t="shared" si="7"/>
        <v>96</v>
      </c>
      <c r="X39" s="3" t="str">
        <f t="shared" si="8"/>
        <v/>
      </c>
      <c r="Y39" s="3" t="str">
        <f t="shared" si="9"/>
        <v/>
      </c>
      <c r="Z39" s="3" t="str">
        <f t="shared" si="10"/>
        <v/>
      </c>
      <c r="AA39" s="3">
        <f t="shared" si="11"/>
        <v>0</v>
      </c>
    </row>
    <row r="40">
      <c r="A40" s="1" t="s">
        <v>322</v>
      </c>
      <c r="B40" s="2" t="s">
        <v>28</v>
      </c>
      <c r="C40" s="2" t="s">
        <v>323</v>
      </c>
      <c r="D40" s="2" t="s">
        <v>324</v>
      </c>
      <c r="E40" s="2" t="s">
        <v>325</v>
      </c>
      <c r="F40" s="2" t="s">
        <v>55</v>
      </c>
      <c r="G40" s="2" t="s">
        <v>326</v>
      </c>
      <c r="H40" s="2" t="s">
        <v>55</v>
      </c>
      <c r="I40" s="2" t="s">
        <v>54</v>
      </c>
      <c r="J40" s="2" t="s">
        <v>55</v>
      </c>
      <c r="K40" s="2" t="s">
        <v>55</v>
      </c>
      <c r="L40" s="2" t="s">
        <v>55</v>
      </c>
      <c r="M40" s="2" t="s">
        <v>54</v>
      </c>
      <c r="N40" s="2" t="s">
        <v>55</v>
      </c>
      <c r="O40" s="2" t="s">
        <v>55</v>
      </c>
      <c r="P40" s="2" t="s">
        <v>55</v>
      </c>
      <c r="Q40" s="3">
        <f t="shared" si="1"/>
        <v>5</v>
      </c>
      <c r="R40" s="3">
        <f t="shared" si="2"/>
        <v>-0.0000002499999994</v>
      </c>
      <c r="S40" s="3">
        <f t="shared" si="3"/>
        <v>0</v>
      </c>
      <c r="T40" s="3">
        <f t="shared" si="4"/>
        <v>0</v>
      </c>
      <c r="U40" s="3">
        <f t="shared" si="12"/>
        <v>100</v>
      </c>
      <c r="V40" s="3">
        <f t="shared" si="6"/>
        <v>100</v>
      </c>
      <c r="W40" s="3">
        <f t="shared" si="7"/>
        <v>100</v>
      </c>
      <c r="X40" s="3" t="str">
        <f t="shared" si="8"/>
        <v>full access</v>
      </c>
      <c r="Y40" s="3" t="str">
        <f t="shared" si="9"/>
        <v>full access</v>
      </c>
      <c r="Z40" s="3" t="str">
        <f t="shared" si="10"/>
        <v>full access</v>
      </c>
      <c r="AA40" s="3">
        <f t="shared" si="11"/>
        <v>0</v>
      </c>
    </row>
    <row r="41">
      <c r="A41" s="1" t="s">
        <v>322</v>
      </c>
      <c r="B41" s="2" t="s">
        <v>43</v>
      </c>
      <c r="C41" s="2" t="s">
        <v>327</v>
      </c>
      <c r="D41" s="2" t="s">
        <v>328</v>
      </c>
      <c r="E41" s="2" t="s">
        <v>329</v>
      </c>
      <c r="F41" s="2" t="s">
        <v>55</v>
      </c>
      <c r="G41" s="2" t="s">
        <v>330</v>
      </c>
      <c r="H41" s="2" t="s">
        <v>55</v>
      </c>
      <c r="I41" s="2" t="s">
        <v>54</v>
      </c>
      <c r="J41" s="2" t="s">
        <v>55</v>
      </c>
      <c r="K41" s="2" t="s">
        <v>55</v>
      </c>
      <c r="L41" s="2" t="s">
        <v>55</v>
      </c>
      <c r="M41" s="2" t="s">
        <v>54</v>
      </c>
      <c r="N41" s="2" t="s">
        <v>55</v>
      </c>
      <c r="O41" s="2" t="s">
        <v>55</v>
      </c>
      <c r="P41" s="2" t="s">
        <v>55</v>
      </c>
      <c r="Q41" s="3" t="str">
        <f t="shared" si="1"/>
        <v/>
      </c>
      <c r="R41" s="3" t="str">
        <f t="shared" si="2"/>
        <v/>
      </c>
      <c r="S41" s="3" t="str">
        <f t="shared" si="3"/>
        <v/>
      </c>
      <c r="T41" s="3" t="str">
        <f t="shared" si="4"/>
        <v/>
      </c>
      <c r="U41" s="3">
        <f t="shared" si="12"/>
        <v>100</v>
      </c>
      <c r="V41" s="3">
        <f t="shared" si="6"/>
        <v>100</v>
      </c>
      <c r="W41" s="3">
        <f t="shared" si="7"/>
        <v>100</v>
      </c>
      <c r="X41" s="3" t="str">
        <f t="shared" si="8"/>
        <v/>
      </c>
      <c r="Y41" s="3" t="str">
        <f t="shared" si="9"/>
        <v/>
      </c>
      <c r="Z41" s="3" t="str">
        <f t="shared" si="10"/>
        <v/>
      </c>
      <c r="AA41" s="3">
        <f t="shared" si="11"/>
        <v>0</v>
      </c>
    </row>
    <row r="42">
      <c r="A42" s="1" t="s">
        <v>331</v>
      </c>
      <c r="B42" s="2" t="s">
        <v>28</v>
      </c>
      <c r="C42" s="2" t="s">
        <v>332</v>
      </c>
      <c r="D42" s="2" t="s">
        <v>333</v>
      </c>
      <c r="E42" s="2" t="s">
        <v>334</v>
      </c>
      <c r="F42" s="2" t="s">
        <v>335</v>
      </c>
      <c r="G42" s="2" t="s">
        <v>336</v>
      </c>
      <c r="H42" s="2" t="s">
        <v>337</v>
      </c>
      <c r="I42" s="2" t="s">
        <v>338</v>
      </c>
      <c r="J42" s="2" t="s">
        <v>339</v>
      </c>
      <c r="K42" s="2" t="s">
        <v>340</v>
      </c>
      <c r="L42" s="2" t="s">
        <v>341</v>
      </c>
      <c r="M42" s="2" t="s">
        <v>342</v>
      </c>
      <c r="N42" s="2" t="s">
        <v>343</v>
      </c>
      <c r="O42" s="2" t="s">
        <v>55</v>
      </c>
      <c r="P42" s="2" t="s">
        <v>55</v>
      </c>
      <c r="Q42" s="3">
        <f t="shared" si="1"/>
        <v>5</v>
      </c>
      <c r="R42" s="3">
        <f t="shared" si="2"/>
        <v>0.24527193</v>
      </c>
      <c r="S42" s="3">
        <f t="shared" si="3"/>
        <v>0.468275104</v>
      </c>
      <c r="T42" s="3">
        <f t="shared" si="4"/>
        <v>-0.025266</v>
      </c>
      <c r="U42" s="3">
        <f t="shared" si="12"/>
        <v>97</v>
      </c>
      <c r="V42" s="3">
        <f t="shared" si="6"/>
        <v>96</v>
      </c>
      <c r="W42" s="3">
        <f t="shared" si="7"/>
        <v>99</v>
      </c>
      <c r="X42" s="3" t="str">
        <f t="shared" si="8"/>
        <v/>
      </c>
      <c r="Y42" s="3" t="str">
        <f t="shared" si="9"/>
        <v/>
      </c>
      <c r="Z42" s="3" t="str">
        <f t="shared" si="10"/>
        <v/>
      </c>
      <c r="AA42" s="3">
        <f t="shared" si="11"/>
        <v>0.493541104</v>
      </c>
    </row>
    <row r="43">
      <c r="A43" s="1" t="s">
        <v>331</v>
      </c>
      <c r="B43" s="2" t="s">
        <v>43</v>
      </c>
      <c r="C43" s="2" t="s">
        <v>344</v>
      </c>
      <c r="D43" s="2" t="s">
        <v>345</v>
      </c>
      <c r="E43" s="2" t="s">
        <v>346</v>
      </c>
      <c r="F43" s="2" t="s">
        <v>347</v>
      </c>
      <c r="G43" s="2" t="s">
        <v>348</v>
      </c>
      <c r="H43" s="2" t="s">
        <v>55</v>
      </c>
      <c r="I43" s="2" t="s">
        <v>349</v>
      </c>
      <c r="J43" s="2" t="s">
        <v>350</v>
      </c>
      <c r="K43" s="2" t="s">
        <v>351</v>
      </c>
      <c r="L43" s="2" t="s">
        <v>55</v>
      </c>
      <c r="M43" s="2" t="s">
        <v>352</v>
      </c>
      <c r="N43" s="2" t="s">
        <v>353</v>
      </c>
      <c r="O43" s="2" t="s">
        <v>55</v>
      </c>
      <c r="P43" s="2" t="s">
        <v>55</v>
      </c>
      <c r="Q43" s="3" t="str">
        <f t="shared" si="1"/>
        <v/>
      </c>
      <c r="R43" s="3" t="str">
        <f t="shared" si="2"/>
        <v/>
      </c>
      <c r="S43" s="3" t="str">
        <f t="shared" si="3"/>
        <v/>
      </c>
      <c r="T43" s="3" t="str">
        <f t="shared" si="4"/>
        <v/>
      </c>
      <c r="U43" s="3">
        <f t="shared" si="12"/>
        <v>98</v>
      </c>
      <c r="V43" s="3">
        <f t="shared" si="6"/>
        <v>98</v>
      </c>
      <c r="W43" s="3">
        <f t="shared" si="7"/>
        <v>99</v>
      </c>
      <c r="X43" s="3" t="str">
        <f t="shared" si="8"/>
        <v/>
      </c>
      <c r="Y43" s="3" t="str">
        <f t="shared" si="9"/>
        <v/>
      </c>
      <c r="Z43" s="3" t="str">
        <f t="shared" si="10"/>
        <v/>
      </c>
      <c r="AA43" s="3">
        <f t="shared" si="11"/>
        <v>0</v>
      </c>
    </row>
    <row r="44">
      <c r="A44" s="1" t="s">
        <v>354</v>
      </c>
      <c r="B44" s="2" t="s">
        <v>28</v>
      </c>
      <c r="C44" s="2" t="s">
        <v>355</v>
      </c>
      <c r="D44" s="2" t="s">
        <v>356</v>
      </c>
      <c r="E44" s="2" t="s">
        <v>357</v>
      </c>
      <c r="F44" s="2" t="s">
        <v>358</v>
      </c>
      <c r="G44" s="2" t="s">
        <v>359</v>
      </c>
      <c r="H44" s="2" t="s">
        <v>360</v>
      </c>
      <c r="I44" s="2" t="s">
        <v>361</v>
      </c>
      <c r="J44" s="2" t="s">
        <v>362</v>
      </c>
      <c r="K44" s="2" t="s">
        <v>363</v>
      </c>
      <c r="L44" s="2" t="s">
        <v>364</v>
      </c>
      <c r="M44" s="2" t="s">
        <v>365</v>
      </c>
      <c r="N44" s="2" t="s">
        <v>366</v>
      </c>
      <c r="O44" s="2" t="s">
        <v>367</v>
      </c>
      <c r="P44" s="2" t="s">
        <v>368</v>
      </c>
      <c r="Q44" s="3">
        <f t="shared" si="1"/>
        <v>5</v>
      </c>
      <c r="R44" s="3">
        <f t="shared" si="2"/>
        <v>0.125460138</v>
      </c>
      <c r="S44" s="3">
        <f t="shared" si="3"/>
        <v>0.253583104</v>
      </c>
      <c r="T44" s="3">
        <f t="shared" si="4"/>
        <v>-0.207828504</v>
      </c>
      <c r="U44" s="3">
        <f t="shared" si="12"/>
        <v>65</v>
      </c>
      <c r="V44" s="3">
        <f t="shared" si="6"/>
        <v>57</v>
      </c>
      <c r="W44" s="3">
        <f t="shared" si="7"/>
        <v>74</v>
      </c>
      <c r="X44" s="3" t="str">
        <f t="shared" si="8"/>
        <v/>
      </c>
      <c r="Y44" s="3" t="str">
        <f t="shared" si="9"/>
        <v/>
      </c>
      <c r="Z44" s="3" t="str">
        <f t="shared" si="10"/>
        <v/>
      </c>
      <c r="AA44" s="3">
        <f t="shared" si="11"/>
        <v>0.461411608</v>
      </c>
    </row>
    <row r="45">
      <c r="A45" s="1" t="s">
        <v>354</v>
      </c>
      <c r="B45" s="2" t="s">
        <v>43</v>
      </c>
      <c r="C45" s="2" t="s">
        <v>369</v>
      </c>
      <c r="D45" s="2" t="s">
        <v>370</v>
      </c>
      <c r="E45" s="2" t="s">
        <v>371</v>
      </c>
      <c r="F45" s="2" t="s">
        <v>372</v>
      </c>
      <c r="G45" s="2" t="s">
        <v>373</v>
      </c>
      <c r="H45" s="2" t="s">
        <v>374</v>
      </c>
      <c r="I45" s="2" t="s">
        <v>375</v>
      </c>
      <c r="J45" s="2" t="s">
        <v>376</v>
      </c>
      <c r="K45" s="2" t="s">
        <v>377</v>
      </c>
      <c r="L45" s="2" t="s">
        <v>378</v>
      </c>
      <c r="M45" s="2" t="s">
        <v>379</v>
      </c>
      <c r="N45" s="2" t="s">
        <v>380</v>
      </c>
      <c r="O45" s="2" t="s">
        <v>381</v>
      </c>
      <c r="P45" s="2" t="s">
        <v>382</v>
      </c>
      <c r="Q45" s="3" t="str">
        <f t="shared" si="1"/>
        <v/>
      </c>
      <c r="R45" s="3" t="str">
        <f t="shared" si="2"/>
        <v/>
      </c>
      <c r="S45" s="3" t="str">
        <f t="shared" si="3"/>
        <v/>
      </c>
      <c r="T45" s="3" t="str">
        <f t="shared" si="4"/>
        <v/>
      </c>
      <c r="U45" s="3">
        <f t="shared" si="12"/>
        <v>65</v>
      </c>
      <c r="V45" s="3">
        <f t="shared" si="6"/>
        <v>58</v>
      </c>
      <c r="W45" s="3">
        <f t="shared" si="7"/>
        <v>73</v>
      </c>
      <c r="X45" s="3" t="str">
        <f t="shared" si="8"/>
        <v/>
      </c>
      <c r="Y45" s="3" t="str">
        <f t="shared" si="9"/>
        <v/>
      </c>
      <c r="Z45" s="3" t="str">
        <f t="shared" si="10"/>
        <v/>
      </c>
      <c r="AA45" s="3">
        <f t="shared" si="11"/>
        <v>0</v>
      </c>
    </row>
    <row r="46">
      <c r="A46" s="1" t="s">
        <v>383</v>
      </c>
      <c r="B46" s="2" t="s">
        <v>28</v>
      </c>
      <c r="C46" s="2" t="s">
        <v>384</v>
      </c>
      <c r="D46" s="2" t="s">
        <v>54</v>
      </c>
      <c r="E46" s="2" t="s">
        <v>385</v>
      </c>
      <c r="F46" s="2" t="s">
        <v>55</v>
      </c>
      <c r="G46" s="2" t="s">
        <v>386</v>
      </c>
      <c r="H46" s="2" t="s">
        <v>55</v>
      </c>
      <c r="I46" s="1" t="s">
        <v>112</v>
      </c>
      <c r="J46" s="1" t="s">
        <v>112</v>
      </c>
      <c r="K46" s="1" t="s">
        <v>112</v>
      </c>
      <c r="L46" s="1" t="s">
        <v>112</v>
      </c>
      <c r="M46" s="2" t="s">
        <v>385</v>
      </c>
      <c r="N46" s="2" t="s">
        <v>55</v>
      </c>
      <c r="O46" s="2" t="s">
        <v>386</v>
      </c>
      <c r="P46" s="2" t="s">
        <v>55</v>
      </c>
      <c r="Q46" s="3">
        <f t="shared" si="1"/>
        <v>5</v>
      </c>
      <c r="R46" s="3">
        <f t="shared" si="2"/>
        <v>0</v>
      </c>
      <c r="S46" s="3" t="str">
        <f t="shared" si="3"/>
        <v/>
      </c>
      <c r="T46" s="3">
        <f t="shared" si="4"/>
        <v>0</v>
      </c>
      <c r="U46" s="3">
        <f t="shared" si="12"/>
        <v>100</v>
      </c>
      <c r="V46" s="3">
        <f t="shared" si="6"/>
        <v>0</v>
      </c>
      <c r="W46" s="3">
        <f t="shared" si="7"/>
        <v>100</v>
      </c>
      <c r="X46" s="3" t="str">
        <f t="shared" si="8"/>
        <v>full access</v>
      </c>
      <c r="Y46" s="3" t="str">
        <f t="shared" si="9"/>
        <v/>
      </c>
      <c r="Z46" s="3" t="str">
        <f t="shared" si="10"/>
        <v>full access</v>
      </c>
      <c r="AA46" s="3">
        <f t="shared" si="11"/>
        <v>0</v>
      </c>
    </row>
    <row r="47">
      <c r="A47" s="1" t="s">
        <v>383</v>
      </c>
      <c r="B47" s="2" t="s">
        <v>43</v>
      </c>
      <c r="C47" s="2" t="s">
        <v>387</v>
      </c>
      <c r="D47" s="2" t="s">
        <v>54</v>
      </c>
      <c r="E47" s="2" t="s">
        <v>385</v>
      </c>
      <c r="F47" s="2" t="s">
        <v>55</v>
      </c>
      <c r="G47" s="2" t="s">
        <v>386</v>
      </c>
      <c r="H47" s="2" t="s">
        <v>55</v>
      </c>
      <c r="I47" s="1" t="s">
        <v>112</v>
      </c>
      <c r="J47" s="1" t="s">
        <v>112</v>
      </c>
      <c r="K47" s="1" t="s">
        <v>112</v>
      </c>
      <c r="L47" s="1" t="s">
        <v>112</v>
      </c>
      <c r="M47" s="2" t="s">
        <v>385</v>
      </c>
      <c r="N47" s="2" t="s">
        <v>55</v>
      </c>
      <c r="O47" s="2" t="s">
        <v>386</v>
      </c>
      <c r="P47" s="2" t="s">
        <v>55</v>
      </c>
      <c r="Q47" s="3" t="str">
        <f t="shared" si="1"/>
        <v/>
      </c>
      <c r="R47" s="3" t="str">
        <f t="shared" si="2"/>
        <v/>
      </c>
      <c r="S47" s="3" t="str">
        <f t="shared" si="3"/>
        <v/>
      </c>
      <c r="T47" s="3" t="str">
        <f t="shared" si="4"/>
        <v/>
      </c>
      <c r="U47" s="3">
        <f t="shared" si="12"/>
        <v>100</v>
      </c>
      <c r="V47" s="3">
        <f t="shared" si="6"/>
        <v>0</v>
      </c>
      <c r="W47" s="3">
        <f t="shared" si="7"/>
        <v>100</v>
      </c>
      <c r="X47" s="3" t="str">
        <f t="shared" si="8"/>
        <v/>
      </c>
      <c r="Y47" s="3" t="str">
        <f t="shared" si="9"/>
        <v/>
      </c>
      <c r="Z47" s="3" t="str">
        <f t="shared" si="10"/>
        <v/>
      </c>
      <c r="AA47" s="3">
        <f t="shared" si="11"/>
        <v>0</v>
      </c>
    </row>
    <row r="48">
      <c r="A48" s="1" t="s">
        <v>388</v>
      </c>
      <c r="B48" s="2" t="s">
        <v>28</v>
      </c>
      <c r="C48" s="2" t="s">
        <v>389</v>
      </c>
      <c r="D48" s="2" t="s">
        <v>390</v>
      </c>
      <c r="E48" s="2" t="s">
        <v>391</v>
      </c>
      <c r="F48" s="2" t="s">
        <v>392</v>
      </c>
      <c r="G48" s="2" t="s">
        <v>393</v>
      </c>
      <c r="H48" s="2" t="s">
        <v>394</v>
      </c>
      <c r="I48" s="2" t="s">
        <v>395</v>
      </c>
      <c r="J48" s="2" t="s">
        <v>396</v>
      </c>
      <c r="K48" s="2" t="s">
        <v>397</v>
      </c>
      <c r="L48" s="2" t="s">
        <v>398</v>
      </c>
      <c r="M48" s="2" t="s">
        <v>399</v>
      </c>
      <c r="N48" s="2" t="s">
        <v>400</v>
      </c>
      <c r="O48" s="2" t="s">
        <v>401</v>
      </c>
      <c r="P48" s="2" t="s">
        <v>402</v>
      </c>
      <c r="Q48" s="3">
        <f t="shared" si="1"/>
        <v>5</v>
      </c>
      <c r="R48" s="3">
        <f t="shared" si="2"/>
        <v>0.218360008</v>
      </c>
      <c r="S48" s="3">
        <f t="shared" si="3"/>
        <v>0.31336614</v>
      </c>
      <c r="T48" s="3">
        <f t="shared" si="4"/>
        <v>0.041858342</v>
      </c>
      <c r="U48" s="3">
        <f t="shared" si="12"/>
        <v>96</v>
      </c>
      <c r="V48" s="3">
        <f t="shared" si="6"/>
        <v>95</v>
      </c>
      <c r="W48" s="3">
        <f t="shared" si="7"/>
        <v>98</v>
      </c>
      <c r="X48" s="3" t="str">
        <f t="shared" si="8"/>
        <v/>
      </c>
      <c r="Y48" s="3" t="str">
        <f t="shared" si="9"/>
        <v/>
      </c>
      <c r="Z48" s="3" t="str">
        <f t="shared" si="10"/>
        <v/>
      </c>
      <c r="AA48" s="3">
        <f t="shared" si="11"/>
        <v>0.271507798</v>
      </c>
    </row>
    <row r="49">
      <c r="A49" s="1" t="s">
        <v>388</v>
      </c>
      <c r="B49" s="2" t="s">
        <v>43</v>
      </c>
      <c r="C49" s="2" t="s">
        <v>403</v>
      </c>
      <c r="D49" s="2" t="s">
        <v>404</v>
      </c>
      <c r="E49" s="2" t="s">
        <v>405</v>
      </c>
      <c r="F49" s="2" t="s">
        <v>406</v>
      </c>
      <c r="G49" s="2" t="s">
        <v>407</v>
      </c>
      <c r="H49" s="2" t="s">
        <v>408</v>
      </c>
      <c r="I49" s="2" t="s">
        <v>409</v>
      </c>
      <c r="J49" s="2" t="s">
        <v>410</v>
      </c>
      <c r="K49" s="2" t="s">
        <v>55</v>
      </c>
      <c r="L49" s="2" t="s">
        <v>55</v>
      </c>
      <c r="M49" s="2" t="s">
        <v>411</v>
      </c>
      <c r="N49" s="2" t="s">
        <v>412</v>
      </c>
      <c r="O49" s="2" t="s">
        <v>413</v>
      </c>
      <c r="P49" s="2" t="s">
        <v>414</v>
      </c>
      <c r="Q49" s="3" t="str">
        <f t="shared" si="1"/>
        <v/>
      </c>
      <c r="R49" s="3" t="str">
        <f t="shared" si="2"/>
        <v/>
      </c>
      <c r="S49" s="3" t="str">
        <f t="shared" si="3"/>
        <v/>
      </c>
      <c r="T49" s="3" t="str">
        <f t="shared" si="4"/>
        <v/>
      </c>
      <c r="U49" s="3">
        <f t="shared" si="12"/>
        <v>97</v>
      </c>
      <c r="V49" s="3">
        <f t="shared" si="6"/>
        <v>97</v>
      </c>
      <c r="W49" s="3">
        <f t="shared" si="7"/>
        <v>98</v>
      </c>
      <c r="X49" s="3" t="str">
        <f t="shared" si="8"/>
        <v/>
      </c>
      <c r="Y49" s="3" t="str">
        <f t="shared" si="9"/>
        <v/>
      </c>
      <c r="Z49" s="3" t="str">
        <f t="shared" si="10"/>
        <v/>
      </c>
      <c r="AA49" s="3">
        <f t="shared" si="11"/>
        <v>0</v>
      </c>
    </row>
    <row r="50">
      <c r="A50" s="1" t="s">
        <v>415</v>
      </c>
      <c r="B50" s="2" t="s">
        <v>28</v>
      </c>
      <c r="C50" s="2" t="s">
        <v>416</v>
      </c>
      <c r="D50" s="2" t="s">
        <v>417</v>
      </c>
      <c r="E50" s="2" t="s">
        <v>418</v>
      </c>
      <c r="F50" s="2" t="s">
        <v>419</v>
      </c>
      <c r="G50" s="2" t="s">
        <v>420</v>
      </c>
      <c r="H50" s="2" t="s">
        <v>421</v>
      </c>
      <c r="I50" s="2" t="s">
        <v>422</v>
      </c>
      <c r="J50" s="2" t="s">
        <v>423</v>
      </c>
      <c r="K50" s="2" t="s">
        <v>424</v>
      </c>
      <c r="L50" s="2" t="s">
        <v>425</v>
      </c>
      <c r="M50" s="2" t="s">
        <v>426</v>
      </c>
      <c r="N50" s="2" t="s">
        <v>427</v>
      </c>
      <c r="O50" s="2" t="s">
        <v>428</v>
      </c>
      <c r="P50" s="2" t="s">
        <v>429</v>
      </c>
      <c r="Q50" s="3">
        <f t="shared" si="1"/>
        <v>5</v>
      </c>
      <c r="R50" s="3">
        <f t="shared" si="2"/>
        <v>0.585586124</v>
      </c>
      <c r="S50" s="3">
        <f t="shared" si="3"/>
        <v>1.239292526</v>
      </c>
      <c r="T50" s="3">
        <f t="shared" si="4"/>
        <v>0.186424248</v>
      </c>
      <c r="U50" s="3">
        <f t="shared" si="12"/>
        <v>90</v>
      </c>
      <c r="V50" s="3">
        <f t="shared" si="6"/>
        <v>74</v>
      </c>
      <c r="W50" s="3">
        <f t="shared" si="7"/>
        <v>98</v>
      </c>
      <c r="X50" s="3" t="str">
        <f t="shared" si="8"/>
        <v/>
      </c>
      <c r="Y50" s="3" t="str">
        <f t="shared" si="9"/>
        <v/>
      </c>
      <c r="Z50" s="3" t="str">
        <f t="shared" si="10"/>
        <v/>
      </c>
      <c r="AA50" s="3">
        <f t="shared" si="11"/>
        <v>1.052868278</v>
      </c>
    </row>
    <row r="51">
      <c r="A51" s="1" t="s">
        <v>415</v>
      </c>
      <c r="B51" s="2" t="s">
        <v>43</v>
      </c>
      <c r="C51" s="2" t="s">
        <v>430</v>
      </c>
      <c r="D51" s="2" t="s">
        <v>431</v>
      </c>
      <c r="E51" s="2" t="s">
        <v>432</v>
      </c>
      <c r="F51" s="2" t="s">
        <v>433</v>
      </c>
      <c r="G51" s="2" t="s">
        <v>434</v>
      </c>
      <c r="H51" s="2" t="s">
        <v>435</v>
      </c>
      <c r="I51" s="2" t="s">
        <v>436</v>
      </c>
      <c r="J51" s="2" t="s">
        <v>437</v>
      </c>
      <c r="K51" s="2" t="s">
        <v>438</v>
      </c>
      <c r="L51" s="2" t="s">
        <v>439</v>
      </c>
      <c r="M51" s="2" t="s">
        <v>440</v>
      </c>
      <c r="N51" s="2" t="s">
        <v>441</v>
      </c>
      <c r="O51" s="2" t="s">
        <v>442</v>
      </c>
      <c r="P51" s="2" t="s">
        <v>443</v>
      </c>
      <c r="Q51" s="3" t="str">
        <f t="shared" si="1"/>
        <v/>
      </c>
      <c r="R51" s="3" t="str">
        <f t="shared" si="2"/>
        <v/>
      </c>
      <c r="S51" s="3" t="str">
        <f t="shared" si="3"/>
        <v/>
      </c>
      <c r="T51" s="3" t="str">
        <f t="shared" si="4"/>
        <v/>
      </c>
      <c r="U51" s="3">
        <f t="shared" si="12"/>
        <v>93</v>
      </c>
      <c r="V51" s="3">
        <f t="shared" si="6"/>
        <v>80</v>
      </c>
      <c r="W51" s="3">
        <f t="shared" si="7"/>
        <v>99</v>
      </c>
      <c r="X51" s="3" t="str">
        <f t="shared" si="8"/>
        <v/>
      </c>
      <c r="Y51" s="3" t="str">
        <f t="shared" si="9"/>
        <v/>
      </c>
      <c r="Z51" s="3" t="str">
        <f t="shared" si="10"/>
        <v/>
      </c>
      <c r="AA51" s="3">
        <f t="shared" si="11"/>
        <v>0</v>
      </c>
    </row>
    <row r="52">
      <c r="A52" s="1" t="s">
        <v>444</v>
      </c>
      <c r="B52" s="2" t="s">
        <v>28</v>
      </c>
      <c r="C52" s="2" t="s">
        <v>445</v>
      </c>
      <c r="D52" s="2" t="s">
        <v>446</v>
      </c>
      <c r="E52" s="2" t="s">
        <v>447</v>
      </c>
      <c r="F52" s="2" t="s">
        <v>448</v>
      </c>
      <c r="G52" s="2" t="s">
        <v>449</v>
      </c>
      <c r="H52" s="2" t="s">
        <v>55</v>
      </c>
      <c r="I52" s="2" t="s">
        <v>450</v>
      </c>
      <c r="J52" s="2" t="s">
        <v>451</v>
      </c>
      <c r="K52" s="2" t="s">
        <v>55</v>
      </c>
      <c r="L52" s="2" t="s">
        <v>55</v>
      </c>
      <c r="M52" s="2" t="s">
        <v>452</v>
      </c>
      <c r="N52" s="2" t="s">
        <v>453</v>
      </c>
      <c r="O52" s="2" t="s">
        <v>454</v>
      </c>
      <c r="P52" s="2" t="s">
        <v>55</v>
      </c>
      <c r="Q52" s="3">
        <f t="shared" si="1"/>
        <v>5</v>
      </c>
      <c r="R52" s="3">
        <f t="shared" si="2"/>
        <v>-0.009189312</v>
      </c>
      <c r="S52" s="3">
        <f t="shared" si="3"/>
        <v>0</v>
      </c>
      <c r="T52" s="3">
        <f t="shared" si="4"/>
        <v>0</v>
      </c>
      <c r="U52" s="3">
        <f t="shared" si="12"/>
        <v>96</v>
      </c>
      <c r="V52" s="3">
        <f t="shared" si="6"/>
        <v>97</v>
      </c>
      <c r="W52" s="3">
        <f t="shared" si="7"/>
        <v>95</v>
      </c>
      <c r="X52" s="3" t="str">
        <f t="shared" si="8"/>
        <v/>
      </c>
      <c r="Y52" s="3" t="str">
        <f t="shared" si="9"/>
        <v/>
      </c>
      <c r="Z52" s="3" t="str">
        <f t="shared" si="10"/>
        <v/>
      </c>
      <c r="AA52" s="3">
        <f t="shared" si="11"/>
        <v>0</v>
      </c>
    </row>
    <row r="53">
      <c r="A53" s="1" t="s">
        <v>444</v>
      </c>
      <c r="B53" s="2" t="s">
        <v>43</v>
      </c>
      <c r="C53" s="2" t="s">
        <v>455</v>
      </c>
      <c r="D53" s="2" t="s">
        <v>456</v>
      </c>
      <c r="E53" s="2" t="s">
        <v>457</v>
      </c>
      <c r="F53" s="2" t="s">
        <v>458</v>
      </c>
      <c r="G53" s="2" t="s">
        <v>459</v>
      </c>
      <c r="H53" s="2" t="s">
        <v>55</v>
      </c>
      <c r="I53" s="2" t="s">
        <v>450</v>
      </c>
      <c r="J53" s="2" t="s">
        <v>451</v>
      </c>
      <c r="K53" s="2" t="s">
        <v>55</v>
      </c>
      <c r="L53" s="2" t="s">
        <v>55</v>
      </c>
      <c r="M53" s="2" t="s">
        <v>452</v>
      </c>
      <c r="N53" s="2" t="s">
        <v>453</v>
      </c>
      <c r="O53" s="2" t="s">
        <v>454</v>
      </c>
      <c r="P53" s="2" t="s">
        <v>55</v>
      </c>
      <c r="Q53" s="3" t="str">
        <f t="shared" si="1"/>
        <v/>
      </c>
      <c r="R53" s="3" t="str">
        <f t="shared" si="2"/>
        <v/>
      </c>
      <c r="S53" s="3" t="str">
        <f t="shared" si="3"/>
        <v/>
      </c>
      <c r="T53" s="3" t="str">
        <f t="shared" si="4"/>
        <v/>
      </c>
      <c r="U53" s="3">
        <f t="shared" si="12"/>
        <v>96</v>
      </c>
      <c r="V53" s="3">
        <f t="shared" si="6"/>
        <v>97</v>
      </c>
      <c r="W53" s="3">
        <f t="shared" si="7"/>
        <v>95</v>
      </c>
      <c r="X53" s="3" t="str">
        <f t="shared" si="8"/>
        <v/>
      </c>
      <c r="Y53" s="3" t="str">
        <f t="shared" si="9"/>
        <v/>
      </c>
      <c r="Z53" s="3" t="str">
        <f t="shared" si="10"/>
        <v/>
      </c>
      <c r="AA53" s="3">
        <f t="shared" si="11"/>
        <v>0</v>
      </c>
    </row>
    <row r="54">
      <c r="A54" s="1" t="s">
        <v>460</v>
      </c>
      <c r="B54" s="2" t="s">
        <v>28</v>
      </c>
      <c r="C54" s="2" t="s">
        <v>461</v>
      </c>
      <c r="D54" s="2" t="s">
        <v>462</v>
      </c>
      <c r="E54" s="2" t="s">
        <v>463</v>
      </c>
      <c r="F54" s="2" t="s">
        <v>464</v>
      </c>
      <c r="G54" s="2" t="s">
        <v>465</v>
      </c>
      <c r="H54" s="2" t="s">
        <v>466</v>
      </c>
      <c r="I54" s="2" t="s">
        <v>467</v>
      </c>
      <c r="J54" s="2" t="s">
        <v>468</v>
      </c>
      <c r="K54" s="2" t="s">
        <v>469</v>
      </c>
      <c r="L54" s="2" t="s">
        <v>470</v>
      </c>
      <c r="M54" s="2" t="s">
        <v>471</v>
      </c>
      <c r="N54" s="2" t="s">
        <v>472</v>
      </c>
      <c r="O54" s="2" t="s">
        <v>473</v>
      </c>
      <c r="P54" s="2" t="s">
        <v>474</v>
      </c>
      <c r="Q54" s="3">
        <f t="shared" si="1"/>
        <v>5</v>
      </c>
      <c r="R54" s="3">
        <f t="shared" si="2"/>
        <v>0.753454708</v>
      </c>
      <c r="S54" s="3">
        <f t="shared" si="3"/>
        <v>1.430238006</v>
      </c>
      <c r="T54" s="3">
        <f t="shared" si="4"/>
        <v>0.2164756</v>
      </c>
      <c r="U54" s="3">
        <f t="shared" si="12"/>
        <v>88</v>
      </c>
      <c r="V54" s="3">
        <f t="shared" si="6"/>
        <v>72</v>
      </c>
      <c r="W54" s="3">
        <f t="shared" si="7"/>
        <v>97</v>
      </c>
      <c r="X54" s="3" t="str">
        <f t="shared" si="8"/>
        <v/>
      </c>
      <c r="Y54" s="3" t="str">
        <f t="shared" si="9"/>
        <v/>
      </c>
      <c r="Z54" s="3" t="str">
        <f t="shared" si="10"/>
        <v/>
      </c>
      <c r="AA54" s="3">
        <f t="shared" si="11"/>
        <v>1.213762406</v>
      </c>
    </row>
    <row r="55">
      <c r="A55" s="1" t="s">
        <v>460</v>
      </c>
      <c r="B55" s="2" t="s">
        <v>43</v>
      </c>
      <c r="C55" s="2" t="s">
        <v>475</v>
      </c>
      <c r="D55" s="2" t="s">
        <v>476</v>
      </c>
      <c r="E55" s="2" t="s">
        <v>477</v>
      </c>
      <c r="F55" s="2" t="s">
        <v>478</v>
      </c>
      <c r="G55" s="2" t="s">
        <v>479</v>
      </c>
      <c r="H55" s="2" t="s">
        <v>480</v>
      </c>
      <c r="I55" s="2" t="s">
        <v>481</v>
      </c>
      <c r="J55" s="2" t="s">
        <v>482</v>
      </c>
      <c r="K55" s="2" t="s">
        <v>483</v>
      </c>
      <c r="L55" s="2" t="s">
        <v>484</v>
      </c>
      <c r="M55" s="2" t="s">
        <v>485</v>
      </c>
      <c r="N55" s="2" t="s">
        <v>486</v>
      </c>
      <c r="O55" s="2" t="s">
        <v>487</v>
      </c>
      <c r="P55" s="2" t="s">
        <v>488</v>
      </c>
      <c r="Q55" s="3" t="str">
        <f t="shared" si="1"/>
        <v/>
      </c>
      <c r="R55" s="3" t="str">
        <f t="shared" si="2"/>
        <v/>
      </c>
      <c r="S55" s="3" t="str">
        <f t="shared" si="3"/>
        <v/>
      </c>
      <c r="T55" s="3" t="str">
        <f t="shared" si="4"/>
        <v/>
      </c>
      <c r="U55" s="3">
        <f t="shared" si="12"/>
        <v>92</v>
      </c>
      <c r="V55" s="3">
        <f t="shared" si="6"/>
        <v>79</v>
      </c>
      <c r="W55" s="3">
        <f t="shared" si="7"/>
        <v>98</v>
      </c>
      <c r="X55" s="3" t="str">
        <f t="shared" si="8"/>
        <v/>
      </c>
      <c r="Y55" s="3" t="str">
        <f t="shared" si="9"/>
        <v/>
      </c>
      <c r="Z55" s="3" t="str">
        <f t="shared" si="10"/>
        <v/>
      </c>
      <c r="AA55" s="3">
        <f t="shared" si="11"/>
        <v>0</v>
      </c>
    </row>
    <row r="56">
      <c r="A56" s="1" t="s">
        <v>489</v>
      </c>
      <c r="B56" s="2" t="s">
        <v>28</v>
      </c>
      <c r="C56" s="2" t="s">
        <v>490</v>
      </c>
      <c r="D56" s="2" t="s">
        <v>491</v>
      </c>
      <c r="E56" s="2" t="s">
        <v>492</v>
      </c>
      <c r="F56" s="2" t="s">
        <v>493</v>
      </c>
      <c r="G56" s="2" t="s">
        <v>494</v>
      </c>
      <c r="H56" s="2" t="s">
        <v>495</v>
      </c>
      <c r="I56" s="2" t="s">
        <v>496</v>
      </c>
      <c r="J56" s="2" t="s">
        <v>497</v>
      </c>
      <c r="K56" s="2" t="s">
        <v>498</v>
      </c>
      <c r="L56" s="2" t="s">
        <v>499</v>
      </c>
      <c r="M56" s="2" t="s">
        <v>500</v>
      </c>
      <c r="N56" s="2" t="s">
        <v>501</v>
      </c>
      <c r="O56" s="2" t="s">
        <v>502</v>
      </c>
      <c r="P56" s="2" t="s">
        <v>55</v>
      </c>
      <c r="Q56" s="3">
        <f t="shared" si="1"/>
        <v>5</v>
      </c>
      <c r="R56" s="3">
        <f t="shared" si="2"/>
        <v>0.30345708</v>
      </c>
      <c r="S56" s="3">
        <f t="shared" si="3"/>
        <v>1.43784627</v>
      </c>
      <c r="T56" s="3">
        <f t="shared" si="4"/>
        <v>0.103474058</v>
      </c>
      <c r="U56" s="3">
        <f t="shared" si="12"/>
        <v>98</v>
      </c>
      <c r="V56" s="3">
        <f t="shared" si="6"/>
        <v>89</v>
      </c>
      <c r="W56" s="3">
        <f t="shared" si="7"/>
        <v>99</v>
      </c>
      <c r="X56" s="3" t="str">
        <f t="shared" si="8"/>
        <v/>
      </c>
      <c r="Y56" s="3" t="str">
        <f t="shared" si="9"/>
        <v/>
      </c>
      <c r="Z56" s="3" t="str">
        <f t="shared" si="10"/>
        <v/>
      </c>
      <c r="AA56" s="3">
        <f t="shared" si="11"/>
        <v>1.334372212</v>
      </c>
    </row>
    <row r="57">
      <c r="A57" s="1" t="s">
        <v>489</v>
      </c>
      <c r="B57" s="2" t="s">
        <v>43</v>
      </c>
      <c r="C57" s="2" t="s">
        <v>503</v>
      </c>
      <c r="D57" s="2" t="s">
        <v>504</v>
      </c>
      <c r="E57" s="2" t="s">
        <v>505</v>
      </c>
      <c r="F57" s="2" t="s">
        <v>506</v>
      </c>
      <c r="G57" s="2" t="s">
        <v>507</v>
      </c>
      <c r="H57" s="1" t="s">
        <v>112</v>
      </c>
      <c r="I57" s="2" t="s">
        <v>508</v>
      </c>
      <c r="J57" s="2" t="s">
        <v>509</v>
      </c>
      <c r="K57" s="2" t="s">
        <v>510</v>
      </c>
      <c r="L57" s="1" t="s">
        <v>112</v>
      </c>
      <c r="M57" s="2" t="s">
        <v>511</v>
      </c>
      <c r="N57" s="2" t="s">
        <v>55</v>
      </c>
      <c r="O57" s="2" t="s">
        <v>512</v>
      </c>
      <c r="P57" s="2" t="s">
        <v>55</v>
      </c>
      <c r="Q57" s="3" t="str">
        <f t="shared" si="1"/>
        <v/>
      </c>
      <c r="R57" s="3" t="str">
        <f t="shared" si="2"/>
        <v/>
      </c>
      <c r="S57" s="3" t="str">
        <f t="shared" si="3"/>
        <v/>
      </c>
      <c r="T57" s="3" t="str">
        <f t="shared" si="4"/>
        <v/>
      </c>
      <c r="U57" s="3">
        <f t="shared" si="12"/>
        <v>99</v>
      </c>
      <c r="V57" s="3">
        <f t="shared" si="6"/>
        <v>96</v>
      </c>
      <c r="W57" s="3">
        <f t="shared" si="7"/>
        <v>100</v>
      </c>
      <c r="X57" s="3" t="str">
        <f t="shared" si="8"/>
        <v/>
      </c>
      <c r="Y57" s="3" t="str">
        <f t="shared" si="9"/>
        <v/>
      </c>
      <c r="Z57" s="3" t="str">
        <f t="shared" si="10"/>
        <v/>
      </c>
      <c r="AA57" s="3">
        <f t="shared" si="11"/>
        <v>0</v>
      </c>
    </row>
    <row r="58">
      <c r="A58" s="1" t="s">
        <v>513</v>
      </c>
      <c r="B58" s="2" t="s">
        <v>28</v>
      </c>
      <c r="C58" s="2" t="s">
        <v>514</v>
      </c>
      <c r="D58" s="2" t="s">
        <v>515</v>
      </c>
      <c r="E58" s="2" t="s">
        <v>516</v>
      </c>
      <c r="F58" s="2" t="s">
        <v>55</v>
      </c>
      <c r="G58" s="2" t="s">
        <v>517</v>
      </c>
      <c r="H58" s="2" t="s">
        <v>55</v>
      </c>
      <c r="I58" s="1" t="s">
        <v>112</v>
      </c>
      <c r="J58" s="1" t="s">
        <v>112</v>
      </c>
      <c r="K58" s="1" t="s">
        <v>112</v>
      </c>
      <c r="L58" s="1" t="s">
        <v>112</v>
      </c>
      <c r="M58" s="1" t="s">
        <v>112</v>
      </c>
      <c r="N58" s="1" t="s">
        <v>112</v>
      </c>
      <c r="O58" s="1" t="s">
        <v>112</v>
      </c>
      <c r="P58" s="1" t="s">
        <v>112</v>
      </c>
      <c r="Q58" s="3">
        <f t="shared" si="1"/>
        <v>5</v>
      </c>
      <c r="R58" s="3">
        <f t="shared" si="2"/>
        <v>0</v>
      </c>
      <c r="S58" s="3" t="str">
        <f t="shared" si="3"/>
        <v/>
      </c>
      <c r="T58" s="3" t="str">
        <f t="shared" si="4"/>
        <v/>
      </c>
      <c r="U58" s="3">
        <f t="shared" si="12"/>
        <v>100</v>
      </c>
      <c r="V58" s="3">
        <f t="shared" si="6"/>
        <v>0</v>
      </c>
      <c r="W58" s="3">
        <f t="shared" si="7"/>
        <v>0</v>
      </c>
      <c r="X58" s="3" t="str">
        <f t="shared" si="8"/>
        <v>full access</v>
      </c>
      <c r="Y58" s="3" t="str">
        <f t="shared" si="9"/>
        <v/>
      </c>
      <c r="Z58" s="3" t="str">
        <f t="shared" si="10"/>
        <v/>
      </c>
      <c r="AA58" s="3">
        <f t="shared" si="11"/>
        <v>0</v>
      </c>
    </row>
    <row r="59">
      <c r="A59" s="1" t="s">
        <v>513</v>
      </c>
      <c r="B59" s="2" t="s">
        <v>43</v>
      </c>
      <c r="C59" s="2" t="s">
        <v>518</v>
      </c>
      <c r="D59" s="2" t="s">
        <v>519</v>
      </c>
      <c r="E59" s="2" t="s">
        <v>516</v>
      </c>
      <c r="F59" s="2" t="s">
        <v>55</v>
      </c>
      <c r="G59" s="2" t="s">
        <v>517</v>
      </c>
      <c r="H59" s="2" t="s">
        <v>55</v>
      </c>
      <c r="I59" s="1" t="s">
        <v>112</v>
      </c>
      <c r="J59" s="1" t="s">
        <v>112</v>
      </c>
      <c r="K59" s="1" t="s">
        <v>112</v>
      </c>
      <c r="L59" s="1" t="s">
        <v>112</v>
      </c>
      <c r="M59" s="1" t="s">
        <v>112</v>
      </c>
      <c r="N59" s="1" t="s">
        <v>112</v>
      </c>
      <c r="O59" s="1" t="s">
        <v>112</v>
      </c>
      <c r="P59" s="1" t="s">
        <v>112</v>
      </c>
      <c r="Q59" s="3" t="str">
        <f t="shared" si="1"/>
        <v/>
      </c>
      <c r="R59" s="3" t="str">
        <f t="shared" si="2"/>
        <v/>
      </c>
      <c r="S59" s="3" t="str">
        <f t="shared" si="3"/>
        <v/>
      </c>
      <c r="T59" s="3" t="str">
        <f t="shared" si="4"/>
        <v/>
      </c>
      <c r="U59" s="3">
        <f t="shared" si="12"/>
        <v>100</v>
      </c>
      <c r="V59" s="3">
        <f t="shared" si="6"/>
        <v>0</v>
      </c>
      <c r="W59" s="3">
        <f t="shared" si="7"/>
        <v>0</v>
      </c>
      <c r="X59" s="3" t="str">
        <f t="shared" si="8"/>
        <v/>
      </c>
      <c r="Y59" s="3" t="str">
        <f t="shared" si="9"/>
        <v/>
      </c>
      <c r="Z59" s="3" t="str">
        <f t="shared" si="10"/>
        <v/>
      </c>
      <c r="AA59" s="3">
        <f t="shared" si="11"/>
        <v>0</v>
      </c>
    </row>
    <row r="60">
      <c r="A60" s="1" t="s">
        <v>520</v>
      </c>
      <c r="B60" s="2" t="s">
        <v>28</v>
      </c>
      <c r="C60" s="2" t="s">
        <v>521</v>
      </c>
      <c r="D60" s="2" t="s">
        <v>522</v>
      </c>
      <c r="E60" s="2" t="s">
        <v>523</v>
      </c>
      <c r="F60" s="2" t="s">
        <v>55</v>
      </c>
      <c r="G60" s="2" t="s">
        <v>524</v>
      </c>
      <c r="H60" s="2" t="s">
        <v>525</v>
      </c>
      <c r="I60" s="2" t="s">
        <v>526</v>
      </c>
      <c r="J60" s="2" t="s">
        <v>55</v>
      </c>
      <c r="K60" s="2" t="s">
        <v>527</v>
      </c>
      <c r="L60" s="2" t="s">
        <v>528</v>
      </c>
      <c r="M60" s="2" t="s">
        <v>529</v>
      </c>
      <c r="N60" s="2" t="s">
        <v>55</v>
      </c>
      <c r="O60" s="2" t="s">
        <v>530</v>
      </c>
      <c r="P60" s="2" t="s">
        <v>55</v>
      </c>
      <c r="Q60" s="3">
        <f t="shared" si="1"/>
        <v>5</v>
      </c>
      <c r="R60" s="3">
        <f t="shared" si="2"/>
        <v>0.078012128</v>
      </c>
      <c r="S60" s="3" t="str">
        <f t="shared" si="3"/>
        <v/>
      </c>
      <c r="T60" s="3">
        <f t="shared" si="4"/>
        <v>0</v>
      </c>
      <c r="U60" s="3">
        <f t="shared" si="12"/>
        <v>100</v>
      </c>
      <c r="V60" s="3">
        <f t="shared" si="6"/>
        <v>99</v>
      </c>
      <c r="W60" s="3">
        <f t="shared" si="7"/>
        <v>100</v>
      </c>
      <c r="X60" s="3" t="str">
        <f t="shared" si="8"/>
        <v>full access</v>
      </c>
      <c r="Y60" s="3" t="str">
        <f t="shared" si="9"/>
        <v/>
      </c>
      <c r="Z60" s="3" t="str">
        <f t="shared" si="10"/>
        <v>full access</v>
      </c>
      <c r="AA60" s="3">
        <f t="shared" si="11"/>
        <v>0</v>
      </c>
    </row>
    <row r="61">
      <c r="A61" s="1" t="s">
        <v>520</v>
      </c>
      <c r="B61" s="2" t="s">
        <v>43</v>
      </c>
      <c r="C61" s="2" t="s">
        <v>531</v>
      </c>
      <c r="D61" s="2" t="s">
        <v>532</v>
      </c>
      <c r="E61" s="2" t="s">
        <v>533</v>
      </c>
      <c r="F61" s="2" t="s">
        <v>55</v>
      </c>
      <c r="G61" s="2" t="s">
        <v>534</v>
      </c>
      <c r="H61" s="2" t="s">
        <v>55</v>
      </c>
      <c r="I61" s="1" t="s">
        <v>112</v>
      </c>
      <c r="J61" s="1" t="s">
        <v>112</v>
      </c>
      <c r="K61" s="1" t="s">
        <v>112</v>
      </c>
      <c r="L61" s="1" t="s">
        <v>112</v>
      </c>
      <c r="M61" s="2" t="s">
        <v>529</v>
      </c>
      <c r="N61" s="2" t="s">
        <v>55</v>
      </c>
      <c r="O61" s="2" t="s">
        <v>530</v>
      </c>
      <c r="P61" s="2" t="s">
        <v>55</v>
      </c>
      <c r="Q61" s="3" t="str">
        <f t="shared" si="1"/>
        <v/>
      </c>
      <c r="R61" s="3" t="str">
        <f t="shared" si="2"/>
        <v/>
      </c>
      <c r="S61" s="3" t="str">
        <f t="shared" si="3"/>
        <v/>
      </c>
      <c r="T61" s="3" t="str">
        <f t="shared" si="4"/>
        <v/>
      </c>
      <c r="U61" s="3">
        <f t="shared" si="12"/>
        <v>100</v>
      </c>
      <c r="V61" s="3">
        <f t="shared" si="6"/>
        <v>0</v>
      </c>
      <c r="W61" s="3">
        <f t="shared" si="7"/>
        <v>100</v>
      </c>
      <c r="X61" s="3" t="str">
        <f t="shared" si="8"/>
        <v/>
      </c>
      <c r="Y61" s="3" t="str">
        <f t="shared" si="9"/>
        <v/>
      </c>
      <c r="Z61" s="3" t="str">
        <f t="shared" si="10"/>
        <v/>
      </c>
      <c r="AA61" s="3">
        <f t="shared" si="11"/>
        <v>0</v>
      </c>
    </row>
    <row r="62">
      <c r="A62" s="1" t="s">
        <v>535</v>
      </c>
      <c r="B62" s="2" t="s">
        <v>28</v>
      </c>
      <c r="C62" s="2" t="s">
        <v>536</v>
      </c>
      <c r="D62" s="2" t="s">
        <v>537</v>
      </c>
      <c r="E62" s="2" t="s">
        <v>538</v>
      </c>
      <c r="F62" s="2" t="s">
        <v>55</v>
      </c>
      <c r="G62" s="2" t="s">
        <v>539</v>
      </c>
      <c r="H62" s="2" t="s">
        <v>55</v>
      </c>
      <c r="I62" s="2" t="s">
        <v>540</v>
      </c>
      <c r="J62" s="2" t="s">
        <v>55</v>
      </c>
      <c r="K62" s="2" t="s">
        <v>541</v>
      </c>
      <c r="L62" s="2" t="s">
        <v>55</v>
      </c>
      <c r="M62" s="2" t="s">
        <v>542</v>
      </c>
      <c r="N62" s="2" t="s">
        <v>55</v>
      </c>
      <c r="O62" s="2" t="s">
        <v>543</v>
      </c>
      <c r="P62" s="2" t="s">
        <v>55</v>
      </c>
      <c r="Q62" s="3">
        <f t="shared" si="1"/>
        <v>5</v>
      </c>
      <c r="R62" s="3">
        <f t="shared" si="2"/>
        <v>-0.036982074</v>
      </c>
      <c r="S62" s="3">
        <f t="shared" si="3"/>
        <v>-0.122970474</v>
      </c>
      <c r="T62" s="3">
        <f t="shared" si="4"/>
        <v>-0.016507464</v>
      </c>
      <c r="U62" s="3">
        <f t="shared" si="12"/>
        <v>99</v>
      </c>
      <c r="V62" s="3">
        <f t="shared" si="6"/>
        <v>98</v>
      </c>
      <c r="W62" s="3">
        <f t="shared" si="7"/>
        <v>100</v>
      </c>
      <c r="X62" s="3" t="str">
        <f t="shared" si="8"/>
        <v/>
      </c>
      <c r="Y62" s="3" t="str">
        <f t="shared" si="9"/>
        <v/>
      </c>
      <c r="Z62" s="3" t="str">
        <f t="shared" si="10"/>
        <v>full access</v>
      </c>
      <c r="AA62" s="3">
        <f t="shared" si="11"/>
        <v>-0.10646301</v>
      </c>
    </row>
    <row r="63">
      <c r="A63" s="1" t="s">
        <v>535</v>
      </c>
      <c r="B63" s="2" t="s">
        <v>43</v>
      </c>
      <c r="C63" s="2" t="s">
        <v>544</v>
      </c>
      <c r="D63" s="2" t="s">
        <v>545</v>
      </c>
      <c r="E63" s="2" t="s">
        <v>546</v>
      </c>
      <c r="F63" s="2" t="s">
        <v>55</v>
      </c>
      <c r="G63" s="2" t="s">
        <v>547</v>
      </c>
      <c r="H63" s="2" t="s">
        <v>55</v>
      </c>
      <c r="I63" s="2" t="s">
        <v>548</v>
      </c>
      <c r="J63" s="2" t="s">
        <v>55</v>
      </c>
      <c r="K63" s="2" t="s">
        <v>549</v>
      </c>
      <c r="L63" s="2" t="s">
        <v>55</v>
      </c>
      <c r="M63" s="2" t="s">
        <v>550</v>
      </c>
      <c r="N63" s="2" t="s">
        <v>55</v>
      </c>
      <c r="O63" s="2" t="s">
        <v>551</v>
      </c>
      <c r="P63" s="2" t="s">
        <v>55</v>
      </c>
      <c r="Q63" s="3" t="str">
        <f t="shared" si="1"/>
        <v/>
      </c>
      <c r="R63" s="3" t="str">
        <f t="shared" si="2"/>
        <v/>
      </c>
      <c r="S63" s="3" t="str">
        <f t="shared" si="3"/>
        <v/>
      </c>
      <c r="T63" s="3" t="str">
        <f t="shared" si="4"/>
        <v/>
      </c>
      <c r="U63" s="3">
        <f t="shared" si="12"/>
        <v>99</v>
      </c>
      <c r="V63" s="3">
        <f t="shared" si="6"/>
        <v>97</v>
      </c>
      <c r="W63" s="3">
        <f t="shared" si="7"/>
        <v>100</v>
      </c>
      <c r="X63" s="3" t="str">
        <f t="shared" si="8"/>
        <v/>
      </c>
      <c r="Y63" s="3" t="str">
        <f t="shared" si="9"/>
        <v/>
      </c>
      <c r="Z63" s="3" t="str">
        <f t="shared" si="10"/>
        <v/>
      </c>
      <c r="AA63" s="3">
        <f t="shared" si="11"/>
        <v>0</v>
      </c>
    </row>
    <row r="64">
      <c r="A64" s="1" t="s">
        <v>552</v>
      </c>
      <c r="B64" s="2" t="s">
        <v>28</v>
      </c>
      <c r="C64" s="2" t="s">
        <v>553</v>
      </c>
      <c r="D64" s="2" t="s">
        <v>554</v>
      </c>
      <c r="E64" s="2" t="s">
        <v>555</v>
      </c>
      <c r="F64" s="2" t="s">
        <v>556</v>
      </c>
      <c r="G64" s="2" t="s">
        <v>557</v>
      </c>
      <c r="H64" s="2" t="s">
        <v>558</v>
      </c>
      <c r="I64" s="2" t="s">
        <v>559</v>
      </c>
      <c r="J64" s="2" t="s">
        <v>560</v>
      </c>
      <c r="K64" s="2" t="s">
        <v>561</v>
      </c>
      <c r="L64" s="2" t="s">
        <v>562</v>
      </c>
      <c r="M64" s="2" t="s">
        <v>563</v>
      </c>
      <c r="N64" s="2" t="s">
        <v>564</v>
      </c>
      <c r="O64" s="2" t="s">
        <v>565</v>
      </c>
      <c r="P64" s="2" t="s">
        <v>566</v>
      </c>
      <c r="Q64" s="3">
        <f t="shared" si="1"/>
        <v>5</v>
      </c>
      <c r="R64" s="3">
        <f t="shared" si="2"/>
        <v>-0.584455326</v>
      </c>
      <c r="S64" s="3">
        <f t="shared" si="3"/>
        <v>-1.22738096</v>
      </c>
      <c r="T64" s="3">
        <f t="shared" si="4"/>
        <v>0.049225276</v>
      </c>
      <c r="U64" s="3">
        <f t="shared" si="12"/>
        <v>50</v>
      </c>
      <c r="V64" s="3">
        <f t="shared" si="6"/>
        <v>39</v>
      </c>
      <c r="W64" s="3">
        <f t="shared" si="7"/>
        <v>80</v>
      </c>
      <c r="X64" s="3" t="str">
        <f t="shared" si="8"/>
        <v/>
      </c>
      <c r="Y64" s="3" t="str">
        <f t="shared" si="9"/>
        <v/>
      </c>
      <c r="Z64" s="3" t="str">
        <f t="shared" si="10"/>
        <v/>
      </c>
      <c r="AA64" s="3">
        <f t="shared" si="11"/>
        <v>-1.276606236</v>
      </c>
    </row>
    <row r="65">
      <c r="A65" s="1" t="s">
        <v>552</v>
      </c>
      <c r="B65" s="2" t="s">
        <v>43</v>
      </c>
      <c r="C65" s="2" t="s">
        <v>567</v>
      </c>
      <c r="D65" s="2" t="s">
        <v>568</v>
      </c>
      <c r="E65" s="2" t="s">
        <v>569</v>
      </c>
      <c r="F65" s="2" t="s">
        <v>570</v>
      </c>
      <c r="G65" s="2" t="s">
        <v>571</v>
      </c>
      <c r="H65" s="2" t="s">
        <v>572</v>
      </c>
      <c r="I65" s="2" t="s">
        <v>573</v>
      </c>
      <c r="J65" s="2" t="s">
        <v>574</v>
      </c>
      <c r="K65" s="2" t="s">
        <v>575</v>
      </c>
      <c r="L65" s="2" t="s">
        <v>576</v>
      </c>
      <c r="M65" s="2" t="s">
        <v>577</v>
      </c>
      <c r="N65" s="2" t="s">
        <v>578</v>
      </c>
      <c r="O65" s="2" t="s">
        <v>579</v>
      </c>
      <c r="P65" s="2" t="s">
        <v>580</v>
      </c>
      <c r="Q65" s="3" t="str">
        <f t="shared" si="1"/>
        <v/>
      </c>
      <c r="R65" s="3" t="str">
        <f t="shared" si="2"/>
        <v/>
      </c>
      <c r="S65" s="3" t="str">
        <f t="shared" si="3"/>
        <v/>
      </c>
      <c r="T65" s="3" t="str">
        <f t="shared" si="4"/>
        <v/>
      </c>
      <c r="U65" s="3">
        <f t="shared" si="12"/>
        <v>47</v>
      </c>
      <c r="V65" s="3">
        <f t="shared" si="6"/>
        <v>33</v>
      </c>
      <c r="W65" s="3">
        <f t="shared" si="7"/>
        <v>80</v>
      </c>
      <c r="X65" s="3" t="str">
        <f t="shared" si="8"/>
        <v/>
      </c>
      <c r="Y65" s="3" t="str">
        <f t="shared" si="9"/>
        <v/>
      </c>
      <c r="Z65" s="3" t="str">
        <f t="shared" si="10"/>
        <v/>
      </c>
      <c r="AA65" s="3">
        <f t="shared" si="11"/>
        <v>0</v>
      </c>
    </row>
    <row r="66">
      <c r="A66" s="1" t="s">
        <v>581</v>
      </c>
      <c r="B66" s="2" t="s">
        <v>28</v>
      </c>
      <c r="C66" s="2" t="s">
        <v>582</v>
      </c>
      <c r="D66" s="2" t="s">
        <v>583</v>
      </c>
      <c r="E66" s="2" t="s">
        <v>584</v>
      </c>
      <c r="F66" s="2" t="s">
        <v>585</v>
      </c>
      <c r="G66" s="2" t="s">
        <v>586</v>
      </c>
      <c r="H66" s="2" t="s">
        <v>587</v>
      </c>
      <c r="I66" s="2" t="s">
        <v>588</v>
      </c>
      <c r="J66" s="2" t="s">
        <v>589</v>
      </c>
      <c r="K66" s="2" t="s">
        <v>590</v>
      </c>
      <c r="L66" s="2" t="s">
        <v>591</v>
      </c>
      <c r="M66" s="2" t="s">
        <v>592</v>
      </c>
      <c r="N66" s="2" t="s">
        <v>593</v>
      </c>
      <c r="O66" s="2" t="s">
        <v>594</v>
      </c>
      <c r="P66" s="2" t="s">
        <v>595</v>
      </c>
      <c r="Q66" s="3">
        <f t="shared" si="1"/>
        <v>5</v>
      </c>
      <c r="R66" s="3">
        <f t="shared" si="2"/>
        <v>0.5251306</v>
      </c>
      <c r="S66" s="3">
        <f t="shared" si="3"/>
        <v>0.425499672</v>
      </c>
      <c r="T66" s="3">
        <f t="shared" si="4"/>
        <v>0.360134654</v>
      </c>
      <c r="U66" s="3">
        <f t="shared" si="12"/>
        <v>60</v>
      </c>
      <c r="V66" s="3">
        <f t="shared" si="6"/>
        <v>56</v>
      </c>
      <c r="W66" s="3">
        <f t="shared" si="7"/>
        <v>89</v>
      </c>
      <c r="X66" s="3" t="str">
        <f t="shared" si="8"/>
        <v/>
      </c>
      <c r="Y66" s="3" t="str">
        <f t="shared" si="9"/>
        <v/>
      </c>
      <c r="Z66" s="3" t="str">
        <f t="shared" si="10"/>
        <v/>
      </c>
      <c r="AA66" s="3">
        <f t="shared" si="11"/>
        <v>0.065365018</v>
      </c>
    </row>
    <row r="67">
      <c r="A67" s="1" t="s">
        <v>581</v>
      </c>
      <c r="B67" s="2" t="s">
        <v>43</v>
      </c>
      <c r="C67" s="2" t="s">
        <v>596</v>
      </c>
      <c r="D67" s="2" t="s">
        <v>597</v>
      </c>
      <c r="E67" s="2" t="s">
        <v>598</v>
      </c>
      <c r="F67" s="2" t="s">
        <v>599</v>
      </c>
      <c r="G67" s="2" t="s">
        <v>600</v>
      </c>
      <c r="H67" s="2" t="s">
        <v>601</v>
      </c>
      <c r="I67" s="2" t="s">
        <v>602</v>
      </c>
      <c r="J67" s="2" t="s">
        <v>603</v>
      </c>
      <c r="K67" s="2" t="s">
        <v>604</v>
      </c>
      <c r="L67" s="2" t="s">
        <v>605</v>
      </c>
      <c r="M67" s="2" t="s">
        <v>606</v>
      </c>
      <c r="N67" s="2" t="s">
        <v>607</v>
      </c>
      <c r="O67" s="2" t="s">
        <v>608</v>
      </c>
      <c r="P67" s="2" t="s">
        <v>55</v>
      </c>
      <c r="Q67" s="3" t="str">
        <f t="shared" si="1"/>
        <v/>
      </c>
      <c r="R67" s="3" t="str">
        <f t="shared" si="2"/>
        <v/>
      </c>
      <c r="S67" s="3" t="str">
        <f t="shared" si="3"/>
        <v/>
      </c>
      <c r="T67" s="3" t="str">
        <f t="shared" si="4"/>
        <v/>
      </c>
      <c r="U67" s="3">
        <f t="shared" si="12"/>
        <v>62</v>
      </c>
      <c r="V67" s="3">
        <f t="shared" si="6"/>
        <v>58</v>
      </c>
      <c r="W67" s="3">
        <f t="shared" si="7"/>
        <v>91</v>
      </c>
      <c r="X67" s="3" t="str">
        <f t="shared" si="8"/>
        <v/>
      </c>
      <c r="Y67" s="3" t="str">
        <f t="shared" si="9"/>
        <v/>
      </c>
      <c r="Z67" s="3" t="str">
        <f t="shared" si="10"/>
        <v/>
      </c>
      <c r="AA67" s="3">
        <f t="shared" si="11"/>
        <v>0</v>
      </c>
    </row>
    <row r="68">
      <c r="A68" s="1" t="s">
        <v>609</v>
      </c>
      <c r="B68" s="2" t="s">
        <v>28</v>
      </c>
      <c r="C68" s="2" t="s">
        <v>610</v>
      </c>
      <c r="D68" s="2" t="s">
        <v>611</v>
      </c>
      <c r="E68" s="2" t="s">
        <v>612</v>
      </c>
      <c r="F68" s="2" t="s">
        <v>613</v>
      </c>
      <c r="G68" s="2" t="s">
        <v>614</v>
      </c>
      <c r="H68" s="2" t="s">
        <v>615</v>
      </c>
      <c r="I68" s="2" t="s">
        <v>616</v>
      </c>
      <c r="J68" s="2" t="s">
        <v>617</v>
      </c>
      <c r="K68" s="2" t="s">
        <v>618</v>
      </c>
      <c r="L68" s="2" t="s">
        <v>619</v>
      </c>
      <c r="M68" s="2" t="s">
        <v>620</v>
      </c>
      <c r="N68" s="2" t="s">
        <v>621</v>
      </c>
      <c r="O68" s="2" t="s">
        <v>622</v>
      </c>
      <c r="P68" s="2" t="s">
        <v>623</v>
      </c>
      <c r="Q68" s="3">
        <f t="shared" si="1"/>
        <v>5</v>
      </c>
      <c r="R68" s="3">
        <f t="shared" si="2"/>
        <v>0.66525281</v>
      </c>
      <c r="S68" s="3">
        <f t="shared" si="3"/>
        <v>1.456442266</v>
      </c>
      <c r="T68" s="3">
        <f t="shared" si="4"/>
        <v>0.130977098</v>
      </c>
      <c r="U68" s="3">
        <f t="shared" si="12"/>
        <v>85</v>
      </c>
      <c r="V68" s="3">
        <f t="shared" si="6"/>
        <v>73</v>
      </c>
      <c r="W68" s="3">
        <f t="shared" si="7"/>
        <v>92</v>
      </c>
      <c r="X68" s="3" t="str">
        <f t="shared" si="8"/>
        <v/>
      </c>
      <c r="Y68" s="3" t="str">
        <f t="shared" si="9"/>
        <v/>
      </c>
      <c r="Z68" s="3" t="str">
        <f t="shared" si="10"/>
        <v/>
      </c>
      <c r="AA68" s="3">
        <f t="shared" si="11"/>
        <v>1.325465168</v>
      </c>
    </row>
    <row r="69">
      <c r="A69" s="1" t="s">
        <v>609</v>
      </c>
      <c r="B69" s="2" t="s">
        <v>43</v>
      </c>
      <c r="C69" s="2" t="s">
        <v>624</v>
      </c>
      <c r="D69" s="2" t="s">
        <v>625</v>
      </c>
      <c r="E69" s="2" t="s">
        <v>626</v>
      </c>
      <c r="F69" s="2" t="s">
        <v>627</v>
      </c>
      <c r="G69" s="2" t="s">
        <v>628</v>
      </c>
      <c r="H69" s="2" t="s">
        <v>629</v>
      </c>
      <c r="I69" s="2" t="s">
        <v>630</v>
      </c>
      <c r="J69" s="2" t="s">
        <v>631</v>
      </c>
      <c r="K69" s="2" t="s">
        <v>632</v>
      </c>
      <c r="L69" s="2" t="s">
        <v>619</v>
      </c>
      <c r="M69" s="2" t="s">
        <v>633</v>
      </c>
      <c r="N69" s="2" t="s">
        <v>634</v>
      </c>
      <c r="O69" s="2" t="s">
        <v>55</v>
      </c>
      <c r="P69" s="2" t="s">
        <v>55</v>
      </c>
      <c r="Q69" s="3" t="str">
        <f t="shared" si="1"/>
        <v/>
      </c>
      <c r="R69" s="3" t="str">
        <f t="shared" si="2"/>
        <v/>
      </c>
      <c r="S69" s="3" t="str">
        <f t="shared" si="3"/>
        <v/>
      </c>
      <c r="T69" s="3" t="str">
        <f t="shared" si="4"/>
        <v/>
      </c>
      <c r="U69" s="3">
        <f t="shared" si="12"/>
        <v>89</v>
      </c>
      <c r="V69" s="3">
        <f t="shared" si="6"/>
        <v>80</v>
      </c>
      <c r="W69" s="3">
        <f t="shared" si="7"/>
        <v>93</v>
      </c>
      <c r="X69" s="3" t="str">
        <f t="shared" si="8"/>
        <v/>
      </c>
      <c r="Y69" s="3" t="str">
        <f t="shared" si="9"/>
        <v/>
      </c>
      <c r="Z69" s="3" t="str">
        <f t="shared" si="10"/>
        <v/>
      </c>
      <c r="AA69" s="3">
        <f t="shared" si="11"/>
        <v>0</v>
      </c>
    </row>
    <row r="70">
      <c r="A70" s="1" t="s">
        <v>635</v>
      </c>
      <c r="B70" s="2" t="s">
        <v>28</v>
      </c>
      <c r="C70" s="2" t="s">
        <v>636</v>
      </c>
      <c r="D70" s="2" t="s">
        <v>637</v>
      </c>
      <c r="E70" s="2" t="s">
        <v>638</v>
      </c>
      <c r="F70" s="2" t="s">
        <v>639</v>
      </c>
      <c r="G70" s="2" t="s">
        <v>640</v>
      </c>
      <c r="H70" s="2" t="s">
        <v>641</v>
      </c>
      <c r="I70" s="2" t="s">
        <v>642</v>
      </c>
      <c r="J70" s="2" t="s">
        <v>643</v>
      </c>
      <c r="K70" s="2" t="s">
        <v>644</v>
      </c>
      <c r="L70" s="2" t="s">
        <v>645</v>
      </c>
      <c r="M70" s="2" t="s">
        <v>646</v>
      </c>
      <c r="N70" s="2" t="s">
        <v>647</v>
      </c>
      <c r="O70" s="2" t="s">
        <v>648</v>
      </c>
      <c r="P70" s="2" t="s">
        <v>649</v>
      </c>
      <c r="Q70" s="3">
        <f t="shared" si="1"/>
        <v>5</v>
      </c>
      <c r="R70" s="3">
        <f t="shared" si="2"/>
        <v>0.555207202</v>
      </c>
      <c r="S70" s="3">
        <f t="shared" si="3"/>
        <v>0.47120783</v>
      </c>
      <c r="T70" s="3">
        <f t="shared" si="4"/>
        <v>0.381977146</v>
      </c>
      <c r="U70" s="3">
        <f t="shared" si="12"/>
        <v>68</v>
      </c>
      <c r="V70" s="3">
        <f t="shared" si="6"/>
        <v>63</v>
      </c>
      <c r="W70" s="3">
        <f t="shared" si="7"/>
        <v>89</v>
      </c>
      <c r="X70" s="3" t="str">
        <f t="shared" si="8"/>
        <v/>
      </c>
      <c r="Y70" s="3" t="str">
        <f t="shared" si="9"/>
        <v/>
      </c>
      <c r="Z70" s="3" t="str">
        <f t="shared" si="10"/>
        <v/>
      </c>
      <c r="AA70" s="3">
        <f t="shared" si="11"/>
        <v>0.089230684</v>
      </c>
    </row>
    <row r="71">
      <c r="A71" s="1" t="s">
        <v>635</v>
      </c>
      <c r="B71" s="2" t="s">
        <v>43</v>
      </c>
      <c r="C71" s="2" t="s">
        <v>650</v>
      </c>
      <c r="D71" s="2" t="s">
        <v>651</v>
      </c>
      <c r="E71" s="2" t="s">
        <v>652</v>
      </c>
      <c r="F71" s="2" t="s">
        <v>653</v>
      </c>
      <c r="G71" s="2" t="s">
        <v>654</v>
      </c>
      <c r="H71" s="2" t="s">
        <v>655</v>
      </c>
      <c r="I71" s="2" t="s">
        <v>656</v>
      </c>
      <c r="J71" s="2" t="s">
        <v>657</v>
      </c>
      <c r="K71" s="2" t="s">
        <v>658</v>
      </c>
      <c r="L71" s="2" t="s">
        <v>659</v>
      </c>
      <c r="M71" s="2" t="s">
        <v>660</v>
      </c>
      <c r="N71" s="2" t="s">
        <v>661</v>
      </c>
      <c r="O71" s="2" t="s">
        <v>55</v>
      </c>
      <c r="P71" s="2" t="s">
        <v>662</v>
      </c>
      <c r="Q71" s="3" t="str">
        <f t="shared" si="1"/>
        <v/>
      </c>
      <c r="R71" s="3" t="str">
        <f t="shared" si="2"/>
        <v/>
      </c>
      <c r="S71" s="3" t="str">
        <f t="shared" si="3"/>
        <v/>
      </c>
      <c r="T71" s="3" t="str">
        <f t="shared" si="4"/>
        <v/>
      </c>
      <c r="U71" s="3">
        <f t="shared" si="12"/>
        <v>71</v>
      </c>
      <c r="V71" s="3">
        <f t="shared" si="6"/>
        <v>65</v>
      </c>
      <c r="W71" s="3">
        <f t="shared" si="7"/>
        <v>90</v>
      </c>
      <c r="X71" s="3" t="str">
        <f t="shared" si="8"/>
        <v/>
      </c>
      <c r="Y71" s="3" t="str">
        <f t="shared" si="9"/>
        <v/>
      </c>
      <c r="Z71" s="3" t="str">
        <f t="shared" si="10"/>
        <v/>
      </c>
      <c r="AA71" s="3">
        <f t="shared" si="11"/>
        <v>0</v>
      </c>
    </row>
    <row r="72">
      <c r="A72" s="1" t="s">
        <v>663</v>
      </c>
      <c r="B72" s="2" t="s">
        <v>28</v>
      </c>
      <c r="C72" s="2" t="s">
        <v>664</v>
      </c>
      <c r="D72" s="2" t="s">
        <v>665</v>
      </c>
      <c r="E72" s="2" t="s">
        <v>666</v>
      </c>
      <c r="F72" s="2" t="s">
        <v>667</v>
      </c>
      <c r="G72" s="2" t="s">
        <v>668</v>
      </c>
      <c r="H72" s="2" t="s">
        <v>669</v>
      </c>
      <c r="I72" s="2" t="s">
        <v>670</v>
      </c>
      <c r="J72" s="2" t="s">
        <v>671</v>
      </c>
      <c r="K72" s="2" t="s">
        <v>672</v>
      </c>
      <c r="L72" s="2" t="s">
        <v>673</v>
      </c>
      <c r="M72" s="2" t="s">
        <v>674</v>
      </c>
      <c r="N72" s="2" t="s">
        <v>675</v>
      </c>
      <c r="O72" s="2" t="s">
        <v>676</v>
      </c>
      <c r="P72" s="2" t="s">
        <v>677</v>
      </c>
      <c r="Q72" s="3">
        <f t="shared" si="1"/>
        <v>5</v>
      </c>
      <c r="R72" s="3">
        <f t="shared" si="2"/>
        <v>0.349285612</v>
      </c>
      <c r="S72" s="3">
        <f t="shared" si="3"/>
        <v>0.304382382</v>
      </c>
      <c r="T72" s="3">
        <f t="shared" si="4"/>
        <v>-0.03466461</v>
      </c>
      <c r="U72" s="3">
        <f t="shared" si="12"/>
        <v>64</v>
      </c>
      <c r="V72" s="3">
        <f t="shared" si="6"/>
        <v>42</v>
      </c>
      <c r="W72" s="3">
        <f t="shared" si="7"/>
        <v>82</v>
      </c>
      <c r="X72" s="3" t="str">
        <f t="shared" si="8"/>
        <v/>
      </c>
      <c r="Y72" s="3" t="str">
        <f t="shared" si="9"/>
        <v/>
      </c>
      <c r="Z72" s="3" t="str">
        <f t="shared" si="10"/>
        <v/>
      </c>
      <c r="AA72" s="3">
        <f t="shared" si="11"/>
        <v>0.339046992</v>
      </c>
    </row>
    <row r="73">
      <c r="A73" s="1" t="s">
        <v>663</v>
      </c>
      <c r="B73" s="2" t="s">
        <v>43</v>
      </c>
      <c r="C73" s="2" t="s">
        <v>678</v>
      </c>
      <c r="D73" s="2" t="s">
        <v>679</v>
      </c>
      <c r="E73" s="2" t="s">
        <v>680</v>
      </c>
      <c r="F73" s="2" t="s">
        <v>681</v>
      </c>
      <c r="G73" s="2" t="s">
        <v>682</v>
      </c>
      <c r="H73" s="2" t="s">
        <v>683</v>
      </c>
      <c r="I73" s="2" t="s">
        <v>684</v>
      </c>
      <c r="J73" s="2" t="s">
        <v>685</v>
      </c>
      <c r="K73" s="2" t="s">
        <v>686</v>
      </c>
      <c r="L73" s="2" t="s">
        <v>687</v>
      </c>
      <c r="M73" s="2" t="s">
        <v>688</v>
      </c>
      <c r="N73" s="2" t="s">
        <v>689</v>
      </c>
      <c r="O73" s="2" t="s">
        <v>690</v>
      </c>
      <c r="P73" s="2" t="s">
        <v>691</v>
      </c>
      <c r="Q73" s="3" t="str">
        <f t="shared" si="1"/>
        <v/>
      </c>
      <c r="R73" s="3" t="str">
        <f t="shared" si="2"/>
        <v/>
      </c>
      <c r="S73" s="3" t="str">
        <f t="shared" si="3"/>
        <v/>
      </c>
      <c r="T73" s="3" t="str">
        <f t="shared" si="4"/>
        <v/>
      </c>
      <c r="U73" s="3">
        <f t="shared" si="12"/>
        <v>66</v>
      </c>
      <c r="V73" s="3">
        <f t="shared" si="6"/>
        <v>44</v>
      </c>
      <c r="W73" s="3">
        <f t="shared" si="7"/>
        <v>82</v>
      </c>
      <c r="X73" s="3" t="str">
        <f t="shared" si="8"/>
        <v/>
      </c>
      <c r="Y73" s="3" t="str">
        <f t="shared" si="9"/>
        <v/>
      </c>
      <c r="Z73" s="3" t="str">
        <f t="shared" si="10"/>
        <v/>
      </c>
      <c r="AA73" s="3">
        <f t="shared" si="11"/>
        <v>0</v>
      </c>
    </row>
    <row r="74">
      <c r="A74" s="1" t="s">
        <v>692</v>
      </c>
      <c r="B74" s="2" t="s">
        <v>28</v>
      </c>
      <c r="C74" s="2" t="s">
        <v>693</v>
      </c>
      <c r="D74" s="2" t="s">
        <v>694</v>
      </c>
      <c r="E74" s="2" t="s">
        <v>695</v>
      </c>
      <c r="F74" s="2" t="s">
        <v>55</v>
      </c>
      <c r="G74" s="2" t="s">
        <v>696</v>
      </c>
      <c r="H74" s="2" t="s">
        <v>55</v>
      </c>
      <c r="I74" s="2" t="s">
        <v>697</v>
      </c>
      <c r="J74" s="2" t="s">
        <v>55</v>
      </c>
      <c r="K74" s="2" t="s">
        <v>698</v>
      </c>
      <c r="L74" s="2" t="s">
        <v>55</v>
      </c>
      <c r="M74" s="2" t="s">
        <v>699</v>
      </c>
      <c r="N74" s="2" t="s">
        <v>55</v>
      </c>
      <c r="O74" s="2" t="s">
        <v>700</v>
      </c>
      <c r="P74" s="2" t="s">
        <v>55</v>
      </c>
      <c r="Q74" s="3">
        <f t="shared" si="1"/>
        <v>5</v>
      </c>
      <c r="R74" s="3">
        <f t="shared" si="2"/>
        <v>-0.001482146</v>
      </c>
      <c r="S74" s="3">
        <f t="shared" si="3"/>
        <v>0.048860164</v>
      </c>
      <c r="T74" s="3">
        <f t="shared" si="4"/>
        <v>-0.013240238</v>
      </c>
      <c r="U74" s="3">
        <f t="shared" si="12"/>
        <v>99</v>
      </c>
      <c r="V74" s="3">
        <f t="shared" si="6"/>
        <v>99</v>
      </c>
      <c r="W74" s="3">
        <f t="shared" si="7"/>
        <v>99</v>
      </c>
      <c r="X74" s="3" t="str">
        <f t="shared" si="8"/>
        <v/>
      </c>
      <c r="Y74" s="3" t="str">
        <f t="shared" si="9"/>
        <v/>
      </c>
      <c r="Z74" s="3" t="str">
        <f t="shared" si="10"/>
        <v/>
      </c>
      <c r="AA74" s="3">
        <f t="shared" si="11"/>
        <v>0.062100402</v>
      </c>
    </row>
    <row r="75">
      <c r="A75" s="1" t="s">
        <v>692</v>
      </c>
      <c r="B75" s="2" t="s">
        <v>43</v>
      </c>
      <c r="C75" s="2" t="s">
        <v>701</v>
      </c>
      <c r="D75" s="2" t="s">
        <v>702</v>
      </c>
      <c r="E75" s="2" t="s">
        <v>703</v>
      </c>
      <c r="F75" s="2" t="s">
        <v>55</v>
      </c>
      <c r="G75" s="2" t="s">
        <v>704</v>
      </c>
      <c r="H75" s="2" t="s">
        <v>55</v>
      </c>
      <c r="I75" s="2" t="s">
        <v>705</v>
      </c>
      <c r="J75" s="2" t="s">
        <v>55</v>
      </c>
      <c r="K75" s="2" t="s">
        <v>706</v>
      </c>
      <c r="L75" s="2" t="s">
        <v>55</v>
      </c>
      <c r="M75" s="2" t="s">
        <v>707</v>
      </c>
      <c r="N75" s="2" t="s">
        <v>55</v>
      </c>
      <c r="O75" s="2" t="s">
        <v>708</v>
      </c>
      <c r="P75" s="2" t="s">
        <v>55</v>
      </c>
      <c r="Q75" s="3" t="str">
        <f t="shared" si="1"/>
        <v/>
      </c>
      <c r="R75" s="3" t="str">
        <f t="shared" si="2"/>
        <v/>
      </c>
      <c r="S75" s="3" t="str">
        <f t="shared" si="3"/>
        <v/>
      </c>
      <c r="T75" s="3" t="str">
        <f t="shared" si="4"/>
        <v/>
      </c>
      <c r="U75" s="3">
        <f t="shared" si="12"/>
        <v>99</v>
      </c>
      <c r="V75" s="3">
        <f t="shared" si="6"/>
        <v>99</v>
      </c>
      <c r="W75" s="3">
        <f t="shared" si="7"/>
        <v>99</v>
      </c>
      <c r="X75" s="3" t="str">
        <f t="shared" si="8"/>
        <v/>
      </c>
      <c r="Y75" s="3" t="str">
        <f t="shared" si="9"/>
        <v/>
      </c>
      <c r="Z75" s="3" t="str">
        <f t="shared" si="10"/>
        <v/>
      </c>
      <c r="AA75" s="3">
        <f t="shared" si="11"/>
        <v>0</v>
      </c>
    </row>
    <row r="76">
      <c r="A76" s="1" t="s">
        <v>709</v>
      </c>
      <c r="B76" s="2" t="s">
        <v>28</v>
      </c>
      <c r="C76" s="2" t="s">
        <v>710</v>
      </c>
      <c r="D76" s="2" t="s">
        <v>54</v>
      </c>
      <c r="E76" s="2" t="s">
        <v>711</v>
      </c>
      <c r="F76" s="2" t="s">
        <v>55</v>
      </c>
      <c r="G76" s="2" t="s">
        <v>712</v>
      </c>
      <c r="H76" s="2" t="s">
        <v>55</v>
      </c>
      <c r="I76" s="1" t="s">
        <v>112</v>
      </c>
      <c r="J76" s="1" t="s">
        <v>112</v>
      </c>
      <c r="K76" s="1" t="s">
        <v>112</v>
      </c>
      <c r="L76" s="1" t="s">
        <v>112</v>
      </c>
      <c r="M76" s="2" t="s">
        <v>711</v>
      </c>
      <c r="N76" s="2" t="s">
        <v>55</v>
      </c>
      <c r="O76" s="2" t="s">
        <v>712</v>
      </c>
      <c r="P76" s="2" t="s">
        <v>55</v>
      </c>
      <c r="Q76" s="3">
        <f t="shared" si="1"/>
        <v>1</v>
      </c>
      <c r="R76" s="3">
        <f t="shared" si="2"/>
        <v>0</v>
      </c>
      <c r="S76" s="3" t="str">
        <f t="shared" si="3"/>
        <v/>
      </c>
      <c r="T76" s="3">
        <f t="shared" si="4"/>
        <v>0</v>
      </c>
      <c r="U76" s="3">
        <f t="shared" si="12"/>
        <v>96</v>
      </c>
      <c r="V76" s="3">
        <f t="shared" si="6"/>
        <v>0</v>
      </c>
      <c r="W76" s="3">
        <f t="shared" si="7"/>
        <v>96</v>
      </c>
      <c r="X76" s="3" t="str">
        <f t="shared" si="8"/>
        <v/>
      </c>
      <c r="Y76" s="3" t="str">
        <f t="shared" si="9"/>
        <v/>
      </c>
      <c r="Z76" s="3" t="str">
        <f t="shared" si="10"/>
        <v/>
      </c>
      <c r="AA76" s="3">
        <f t="shared" si="11"/>
        <v>0</v>
      </c>
    </row>
    <row r="77">
      <c r="A77" s="1" t="s">
        <v>709</v>
      </c>
      <c r="B77" s="2" t="s">
        <v>205</v>
      </c>
      <c r="C77" s="2" t="s">
        <v>713</v>
      </c>
      <c r="D77" s="2" t="s">
        <v>54</v>
      </c>
      <c r="E77" s="2" t="s">
        <v>711</v>
      </c>
      <c r="F77" s="2" t="s">
        <v>55</v>
      </c>
      <c r="G77" s="2" t="s">
        <v>712</v>
      </c>
      <c r="H77" s="2" t="s">
        <v>55</v>
      </c>
      <c r="I77" s="1" t="s">
        <v>112</v>
      </c>
      <c r="J77" s="1" t="s">
        <v>112</v>
      </c>
      <c r="K77" s="1" t="s">
        <v>112</v>
      </c>
      <c r="L77" s="1" t="s">
        <v>112</v>
      </c>
      <c r="M77" s="2" t="s">
        <v>711</v>
      </c>
      <c r="N77" s="2" t="s">
        <v>55</v>
      </c>
      <c r="O77" s="2" t="s">
        <v>712</v>
      </c>
      <c r="P77" s="2" t="s">
        <v>55</v>
      </c>
      <c r="Q77" s="3" t="str">
        <f t="shared" si="1"/>
        <v/>
      </c>
      <c r="R77" s="3" t="str">
        <f t="shared" si="2"/>
        <v/>
      </c>
      <c r="S77" s="3" t="str">
        <f t="shared" si="3"/>
        <v/>
      </c>
      <c r="T77" s="3" t="str">
        <f t="shared" si="4"/>
        <v/>
      </c>
      <c r="U77" s="3">
        <f t="shared" si="12"/>
        <v>96</v>
      </c>
      <c r="V77" s="3">
        <f t="shared" si="6"/>
        <v>0</v>
      </c>
      <c r="W77" s="3">
        <f t="shared" si="7"/>
        <v>96</v>
      </c>
      <c r="X77" s="3" t="str">
        <f t="shared" si="8"/>
        <v/>
      </c>
      <c r="Y77" s="3" t="str">
        <f t="shared" si="9"/>
        <v/>
      </c>
      <c r="Z77" s="3" t="str">
        <f t="shared" si="10"/>
        <v/>
      </c>
      <c r="AA77" s="3">
        <f t="shared" si="11"/>
        <v>0</v>
      </c>
    </row>
    <row r="78">
      <c r="A78" s="1" t="s">
        <v>714</v>
      </c>
      <c r="B78" s="2" t="s">
        <v>28</v>
      </c>
      <c r="C78" s="2" t="s">
        <v>715</v>
      </c>
      <c r="D78" s="2" t="s">
        <v>716</v>
      </c>
      <c r="E78" s="2" t="s">
        <v>717</v>
      </c>
      <c r="F78" s="2" t="s">
        <v>718</v>
      </c>
      <c r="G78" s="2" t="s">
        <v>719</v>
      </c>
      <c r="H78" s="2" t="s">
        <v>720</v>
      </c>
      <c r="I78" s="2" t="s">
        <v>721</v>
      </c>
      <c r="J78" s="2" t="s">
        <v>722</v>
      </c>
      <c r="K78" s="2" t="s">
        <v>723</v>
      </c>
      <c r="L78" s="2" t="s">
        <v>724</v>
      </c>
      <c r="M78" s="2" t="s">
        <v>725</v>
      </c>
      <c r="N78" s="2" t="s">
        <v>726</v>
      </c>
      <c r="O78" s="2" t="s">
        <v>727</v>
      </c>
      <c r="P78" s="2" t="s">
        <v>728</v>
      </c>
      <c r="Q78" s="3">
        <f t="shared" si="1"/>
        <v>5</v>
      </c>
      <c r="R78" s="3">
        <f t="shared" si="2"/>
        <v>-1.021788674</v>
      </c>
      <c r="S78" s="3">
        <f t="shared" si="3"/>
        <v>-0.756962728</v>
      </c>
      <c r="T78" s="3">
        <f t="shared" si="4"/>
        <v>-1.620086812</v>
      </c>
      <c r="U78" s="3">
        <f t="shared" si="12"/>
        <v>42</v>
      </c>
      <c r="V78" s="3">
        <f t="shared" si="6"/>
        <v>32</v>
      </c>
      <c r="W78" s="3">
        <f t="shared" si="7"/>
        <v>58</v>
      </c>
      <c r="X78" s="3" t="str">
        <f t="shared" si="8"/>
        <v/>
      </c>
      <c r="Y78" s="3" t="str">
        <f t="shared" si="9"/>
        <v/>
      </c>
      <c r="Z78" s="3" t="str">
        <f t="shared" si="10"/>
        <v/>
      </c>
      <c r="AA78" s="3">
        <f t="shared" si="11"/>
        <v>0.863124084</v>
      </c>
    </row>
    <row r="79">
      <c r="A79" s="1" t="s">
        <v>714</v>
      </c>
      <c r="B79" s="2" t="s">
        <v>43</v>
      </c>
      <c r="C79" s="2" t="s">
        <v>729</v>
      </c>
      <c r="D79" s="2" t="s">
        <v>730</v>
      </c>
      <c r="E79" s="2" t="s">
        <v>731</v>
      </c>
      <c r="F79" s="2" t="s">
        <v>732</v>
      </c>
      <c r="G79" s="2" t="s">
        <v>733</v>
      </c>
      <c r="H79" s="2" t="s">
        <v>734</v>
      </c>
      <c r="I79" s="2" t="s">
        <v>735</v>
      </c>
      <c r="J79" s="2" t="s">
        <v>736</v>
      </c>
      <c r="K79" s="2" t="s">
        <v>737</v>
      </c>
      <c r="L79" s="2" t="s">
        <v>738</v>
      </c>
      <c r="M79" s="2" t="s">
        <v>739</v>
      </c>
      <c r="N79" s="2" t="s">
        <v>740</v>
      </c>
      <c r="O79" s="2" t="s">
        <v>741</v>
      </c>
      <c r="P79" s="2" t="s">
        <v>742</v>
      </c>
      <c r="Q79" s="3" t="str">
        <f t="shared" si="1"/>
        <v/>
      </c>
      <c r="R79" s="3" t="str">
        <f t="shared" si="2"/>
        <v/>
      </c>
      <c r="S79" s="3" t="str">
        <f t="shared" si="3"/>
        <v/>
      </c>
      <c r="T79" s="3" t="str">
        <f t="shared" si="4"/>
        <v/>
      </c>
      <c r="U79" s="3">
        <f t="shared" si="12"/>
        <v>37</v>
      </c>
      <c r="V79" s="3">
        <f t="shared" si="6"/>
        <v>28</v>
      </c>
      <c r="W79" s="3">
        <f t="shared" si="7"/>
        <v>50</v>
      </c>
      <c r="X79" s="3" t="str">
        <f t="shared" si="8"/>
        <v/>
      </c>
      <c r="Y79" s="3" t="str">
        <f t="shared" si="9"/>
        <v/>
      </c>
      <c r="Z79" s="3" t="str">
        <f t="shared" si="10"/>
        <v/>
      </c>
      <c r="AA79" s="3">
        <f t="shared" si="11"/>
        <v>0</v>
      </c>
    </row>
    <row r="80">
      <c r="A80" s="1" t="s">
        <v>743</v>
      </c>
      <c r="B80" s="2" t="s">
        <v>28</v>
      </c>
      <c r="C80" s="2" t="s">
        <v>744</v>
      </c>
      <c r="D80" s="2" t="s">
        <v>745</v>
      </c>
      <c r="E80" s="2" t="s">
        <v>746</v>
      </c>
      <c r="F80" s="2" t="s">
        <v>747</v>
      </c>
      <c r="G80" s="2" t="s">
        <v>748</v>
      </c>
      <c r="H80" s="2" t="s">
        <v>749</v>
      </c>
      <c r="I80" s="2" t="s">
        <v>750</v>
      </c>
      <c r="J80" s="2" t="s">
        <v>751</v>
      </c>
      <c r="K80" s="2" t="s">
        <v>752</v>
      </c>
      <c r="L80" s="2" t="s">
        <v>753</v>
      </c>
      <c r="M80" s="2" t="s">
        <v>754</v>
      </c>
      <c r="N80" s="2" t="s">
        <v>755</v>
      </c>
      <c r="O80" s="2" t="s">
        <v>756</v>
      </c>
      <c r="P80" s="2" t="s">
        <v>757</v>
      </c>
      <c r="Q80" s="3">
        <f t="shared" si="1"/>
        <v>5</v>
      </c>
      <c r="R80" s="3">
        <f t="shared" si="2"/>
        <v>0.357687564</v>
      </c>
      <c r="S80" s="3">
        <f t="shared" si="3"/>
        <v>0.399262902</v>
      </c>
      <c r="T80" s="3">
        <f t="shared" si="4"/>
        <v>-0.112285738</v>
      </c>
      <c r="U80" s="3">
        <f t="shared" si="12"/>
        <v>44</v>
      </c>
      <c r="V80" s="3">
        <f t="shared" si="6"/>
        <v>36</v>
      </c>
      <c r="W80" s="3">
        <f t="shared" si="7"/>
        <v>75</v>
      </c>
      <c r="X80" s="3" t="str">
        <f t="shared" si="8"/>
        <v/>
      </c>
      <c r="Y80" s="3" t="str">
        <f t="shared" si="9"/>
        <v/>
      </c>
      <c r="Z80" s="3" t="str">
        <f t="shared" si="10"/>
        <v/>
      </c>
      <c r="AA80" s="3">
        <f t="shared" si="11"/>
        <v>0.51154864</v>
      </c>
    </row>
    <row r="81">
      <c r="A81" s="1" t="s">
        <v>743</v>
      </c>
      <c r="B81" s="2" t="s">
        <v>43</v>
      </c>
      <c r="C81" s="2" t="s">
        <v>758</v>
      </c>
      <c r="D81" s="2" t="s">
        <v>759</v>
      </c>
      <c r="E81" s="2" t="s">
        <v>760</v>
      </c>
      <c r="F81" s="2" t="s">
        <v>761</v>
      </c>
      <c r="G81" s="2" t="s">
        <v>762</v>
      </c>
      <c r="H81" s="2" t="s">
        <v>763</v>
      </c>
      <c r="I81" s="2" t="s">
        <v>764</v>
      </c>
      <c r="J81" s="2" t="s">
        <v>765</v>
      </c>
      <c r="K81" s="2" t="s">
        <v>766</v>
      </c>
      <c r="L81" s="2" t="s">
        <v>767</v>
      </c>
      <c r="M81" s="2" t="s">
        <v>768</v>
      </c>
      <c r="N81" s="2" t="s">
        <v>769</v>
      </c>
      <c r="O81" s="2" t="s">
        <v>770</v>
      </c>
      <c r="P81" s="2" t="s">
        <v>771</v>
      </c>
      <c r="Q81" s="3" t="str">
        <f t="shared" si="1"/>
        <v/>
      </c>
      <c r="R81" s="3" t="str">
        <f t="shared" si="2"/>
        <v/>
      </c>
      <c r="S81" s="3" t="str">
        <f t="shared" si="3"/>
        <v/>
      </c>
      <c r="T81" s="3" t="str">
        <f t="shared" si="4"/>
        <v/>
      </c>
      <c r="U81" s="3">
        <f t="shared" si="12"/>
        <v>46</v>
      </c>
      <c r="V81" s="3">
        <f t="shared" si="6"/>
        <v>38</v>
      </c>
      <c r="W81" s="3">
        <f t="shared" si="7"/>
        <v>74</v>
      </c>
      <c r="X81" s="3" t="str">
        <f t="shared" si="8"/>
        <v/>
      </c>
      <c r="Y81" s="3" t="str">
        <f t="shared" si="9"/>
        <v/>
      </c>
      <c r="Z81" s="3" t="str">
        <f t="shared" si="10"/>
        <v/>
      </c>
      <c r="AA81" s="3">
        <f t="shared" si="11"/>
        <v>0</v>
      </c>
    </row>
    <row r="82">
      <c r="A82" s="1" t="s">
        <v>772</v>
      </c>
      <c r="B82" s="2" t="s">
        <v>28</v>
      </c>
      <c r="C82" s="2" t="s">
        <v>773</v>
      </c>
      <c r="D82" s="2" t="s">
        <v>774</v>
      </c>
      <c r="E82" s="2" t="s">
        <v>775</v>
      </c>
      <c r="F82" s="2" t="s">
        <v>55</v>
      </c>
      <c r="G82" s="2" t="s">
        <v>776</v>
      </c>
      <c r="H82" s="2" t="s">
        <v>55</v>
      </c>
      <c r="I82" s="1" t="s">
        <v>112</v>
      </c>
      <c r="J82" s="1" t="s">
        <v>112</v>
      </c>
      <c r="K82" s="1" t="s">
        <v>112</v>
      </c>
      <c r="L82" s="1" t="s">
        <v>112</v>
      </c>
      <c r="M82" s="1" t="s">
        <v>112</v>
      </c>
      <c r="N82" s="1" t="s">
        <v>112</v>
      </c>
      <c r="O82" s="1" t="s">
        <v>112</v>
      </c>
      <c r="P82" s="1" t="s">
        <v>112</v>
      </c>
      <c r="Q82" s="3">
        <f t="shared" si="1"/>
        <v>2</v>
      </c>
      <c r="R82" s="3">
        <f t="shared" si="2"/>
        <v>0</v>
      </c>
      <c r="S82" s="3" t="str">
        <f t="shared" si="3"/>
        <v/>
      </c>
      <c r="T82" s="3" t="str">
        <f t="shared" si="4"/>
        <v/>
      </c>
      <c r="U82" s="3">
        <f t="shared" si="12"/>
        <v>94</v>
      </c>
      <c r="V82" s="3">
        <f t="shared" si="6"/>
        <v>0</v>
      </c>
      <c r="W82" s="3">
        <f t="shared" si="7"/>
        <v>0</v>
      </c>
      <c r="X82" s="3" t="str">
        <f t="shared" si="8"/>
        <v/>
      </c>
      <c r="Y82" s="3" t="str">
        <f t="shared" si="9"/>
        <v/>
      </c>
      <c r="Z82" s="3" t="str">
        <f t="shared" si="10"/>
        <v/>
      </c>
      <c r="AA82" s="3">
        <f t="shared" si="11"/>
        <v>0</v>
      </c>
    </row>
    <row r="83">
      <c r="A83" s="1" t="s">
        <v>772</v>
      </c>
      <c r="B83" s="2" t="s">
        <v>158</v>
      </c>
      <c r="C83" s="2" t="s">
        <v>777</v>
      </c>
      <c r="D83" s="2" t="s">
        <v>778</v>
      </c>
      <c r="E83" s="2" t="s">
        <v>775</v>
      </c>
      <c r="F83" s="2" t="s">
        <v>55</v>
      </c>
      <c r="G83" s="2" t="s">
        <v>776</v>
      </c>
      <c r="H83" s="2" t="s">
        <v>55</v>
      </c>
      <c r="I83" s="1" t="s">
        <v>112</v>
      </c>
      <c r="J83" s="1" t="s">
        <v>112</v>
      </c>
      <c r="K83" s="1" t="s">
        <v>112</v>
      </c>
      <c r="L83" s="1" t="s">
        <v>112</v>
      </c>
      <c r="M83" s="1" t="s">
        <v>112</v>
      </c>
      <c r="N83" s="1" t="s">
        <v>112</v>
      </c>
      <c r="O83" s="1" t="s">
        <v>112</v>
      </c>
      <c r="P83" s="1" t="s">
        <v>112</v>
      </c>
      <c r="Q83" s="3" t="str">
        <f t="shared" si="1"/>
        <v/>
      </c>
      <c r="R83" s="3" t="str">
        <f t="shared" si="2"/>
        <v/>
      </c>
      <c r="S83" s="3" t="str">
        <f t="shared" si="3"/>
        <v/>
      </c>
      <c r="T83" s="3" t="str">
        <f t="shared" si="4"/>
        <v/>
      </c>
      <c r="U83" s="3">
        <f t="shared" si="12"/>
        <v>94</v>
      </c>
      <c r="V83" s="3">
        <f t="shared" si="6"/>
        <v>0</v>
      </c>
      <c r="W83" s="3">
        <f t="shared" si="7"/>
        <v>0</v>
      </c>
      <c r="X83" s="3" t="str">
        <f t="shared" si="8"/>
        <v/>
      </c>
      <c r="Y83" s="3" t="str">
        <f t="shared" si="9"/>
        <v/>
      </c>
      <c r="Z83" s="3" t="str">
        <f t="shared" si="10"/>
        <v/>
      </c>
      <c r="AA83" s="3">
        <f t="shared" si="11"/>
        <v>0</v>
      </c>
    </row>
    <row r="84">
      <c r="A84" s="1" t="s">
        <v>779</v>
      </c>
      <c r="B84" s="2" t="s">
        <v>28</v>
      </c>
      <c r="C84" s="2" t="s">
        <v>780</v>
      </c>
      <c r="D84" s="2" t="s">
        <v>781</v>
      </c>
      <c r="E84" s="2" t="s">
        <v>782</v>
      </c>
      <c r="F84" s="2" t="s">
        <v>55</v>
      </c>
      <c r="G84" s="2" t="s">
        <v>783</v>
      </c>
      <c r="H84" s="2" t="s">
        <v>55</v>
      </c>
      <c r="I84" s="2" t="s">
        <v>784</v>
      </c>
      <c r="J84" s="2" t="s">
        <v>55</v>
      </c>
      <c r="K84" s="2" t="s">
        <v>785</v>
      </c>
      <c r="L84" s="2" t="s">
        <v>55</v>
      </c>
      <c r="M84" s="2" t="s">
        <v>786</v>
      </c>
      <c r="N84" s="2" t="s">
        <v>55</v>
      </c>
      <c r="O84" s="2" t="s">
        <v>787</v>
      </c>
      <c r="P84" s="2" t="s">
        <v>55</v>
      </c>
      <c r="Q84" s="3">
        <f t="shared" si="1"/>
        <v>5</v>
      </c>
      <c r="R84" s="3">
        <f t="shared" si="2"/>
        <v>0.0987012</v>
      </c>
      <c r="S84" s="3">
        <f t="shared" si="3"/>
        <v>0.5864603</v>
      </c>
      <c r="T84" s="3">
        <f t="shared" si="4"/>
        <v>0.028128604</v>
      </c>
      <c r="U84" s="3">
        <f t="shared" si="12"/>
        <v>100</v>
      </c>
      <c r="V84" s="3">
        <f t="shared" si="6"/>
        <v>97</v>
      </c>
      <c r="W84" s="3">
        <f t="shared" si="7"/>
        <v>100</v>
      </c>
      <c r="X84" s="3" t="str">
        <f t="shared" si="8"/>
        <v>full access</v>
      </c>
      <c r="Y84" s="3" t="str">
        <f t="shared" si="9"/>
        <v/>
      </c>
      <c r="Z84" s="3" t="str">
        <f t="shared" si="10"/>
        <v>full access</v>
      </c>
      <c r="AA84" s="3">
        <f t="shared" si="11"/>
        <v>0.558331696</v>
      </c>
    </row>
    <row r="85">
      <c r="A85" s="1" t="s">
        <v>779</v>
      </c>
      <c r="B85" s="2" t="s">
        <v>43</v>
      </c>
      <c r="C85" s="2" t="s">
        <v>788</v>
      </c>
      <c r="D85" s="2" t="s">
        <v>789</v>
      </c>
      <c r="E85" s="2" t="s">
        <v>790</v>
      </c>
      <c r="F85" s="2" t="s">
        <v>55</v>
      </c>
      <c r="G85" s="2" t="s">
        <v>791</v>
      </c>
      <c r="H85" s="2" t="s">
        <v>55</v>
      </c>
      <c r="I85" s="2" t="s">
        <v>54</v>
      </c>
      <c r="J85" s="2" t="s">
        <v>55</v>
      </c>
      <c r="K85" s="2" t="s">
        <v>55</v>
      </c>
      <c r="L85" s="2" t="s">
        <v>55</v>
      </c>
      <c r="M85" s="2" t="s">
        <v>54</v>
      </c>
      <c r="N85" s="2" t="s">
        <v>55</v>
      </c>
      <c r="O85" s="2" t="s">
        <v>55</v>
      </c>
      <c r="P85" s="2" t="s">
        <v>55</v>
      </c>
      <c r="Q85" s="3" t="str">
        <f t="shared" si="1"/>
        <v/>
      </c>
      <c r="R85" s="3" t="str">
        <f t="shared" si="2"/>
        <v/>
      </c>
      <c r="S85" s="3" t="str">
        <f t="shared" si="3"/>
        <v/>
      </c>
      <c r="T85" s="3" t="str">
        <f t="shared" si="4"/>
        <v/>
      </c>
      <c r="U85" s="3">
        <f t="shared" si="12"/>
        <v>100</v>
      </c>
      <c r="V85" s="3">
        <f t="shared" si="6"/>
        <v>100</v>
      </c>
      <c r="W85" s="3">
        <f t="shared" si="7"/>
        <v>100</v>
      </c>
      <c r="X85" s="3" t="str">
        <f t="shared" si="8"/>
        <v/>
      </c>
      <c r="Y85" s="3" t="str">
        <f t="shared" si="9"/>
        <v/>
      </c>
      <c r="Z85" s="3" t="str">
        <f t="shared" si="10"/>
        <v/>
      </c>
      <c r="AA85" s="3">
        <f t="shared" si="11"/>
        <v>0</v>
      </c>
    </row>
    <row r="86">
      <c r="A86" s="1" t="s">
        <v>792</v>
      </c>
      <c r="B86" s="2" t="s">
        <v>28</v>
      </c>
      <c r="C86" s="2" t="s">
        <v>793</v>
      </c>
      <c r="D86" s="2" t="s">
        <v>794</v>
      </c>
      <c r="E86" s="2" t="s">
        <v>795</v>
      </c>
      <c r="F86" s="2" t="s">
        <v>796</v>
      </c>
      <c r="G86" s="2" t="s">
        <v>797</v>
      </c>
      <c r="H86" s="2" t="s">
        <v>798</v>
      </c>
      <c r="I86" s="2" t="s">
        <v>799</v>
      </c>
      <c r="J86" s="2" t="s">
        <v>800</v>
      </c>
      <c r="K86" s="2" t="s">
        <v>801</v>
      </c>
      <c r="L86" s="2" t="s">
        <v>802</v>
      </c>
      <c r="M86" s="2" t="s">
        <v>803</v>
      </c>
      <c r="N86" s="2" t="s">
        <v>804</v>
      </c>
      <c r="O86" s="2" t="s">
        <v>805</v>
      </c>
      <c r="P86" s="2" t="s">
        <v>806</v>
      </c>
      <c r="Q86" s="3">
        <f t="shared" si="1"/>
        <v>5</v>
      </c>
      <c r="R86" s="3">
        <f t="shared" si="2"/>
        <v>0.499693872</v>
      </c>
      <c r="S86" s="3">
        <f t="shared" si="3"/>
        <v>1.036409118</v>
      </c>
      <c r="T86" s="3">
        <f t="shared" si="4"/>
        <v>-0.08095426</v>
      </c>
      <c r="U86" s="3">
        <f t="shared" si="12"/>
        <v>92</v>
      </c>
      <c r="V86" s="3">
        <f t="shared" si="6"/>
        <v>84</v>
      </c>
      <c r="W86" s="3">
        <f t="shared" si="7"/>
        <v>98</v>
      </c>
      <c r="X86" s="3" t="str">
        <f t="shared" si="8"/>
        <v/>
      </c>
      <c r="Y86" s="3" t="str">
        <f t="shared" si="9"/>
        <v/>
      </c>
      <c r="Z86" s="3" t="str">
        <f t="shared" si="10"/>
        <v/>
      </c>
      <c r="AA86" s="3">
        <f t="shared" si="11"/>
        <v>1.117363378</v>
      </c>
    </row>
    <row r="87">
      <c r="A87" s="1" t="s">
        <v>792</v>
      </c>
      <c r="B87" s="2" t="s">
        <v>43</v>
      </c>
      <c r="C87" s="2" t="s">
        <v>807</v>
      </c>
      <c r="D87" s="2" t="s">
        <v>808</v>
      </c>
      <c r="E87" s="2" t="s">
        <v>809</v>
      </c>
      <c r="F87" s="2" t="s">
        <v>810</v>
      </c>
      <c r="G87" s="2" t="s">
        <v>811</v>
      </c>
      <c r="H87" s="2" t="s">
        <v>812</v>
      </c>
      <c r="I87" s="2" t="s">
        <v>813</v>
      </c>
      <c r="J87" s="2" t="s">
        <v>814</v>
      </c>
      <c r="K87" s="2" t="s">
        <v>815</v>
      </c>
      <c r="L87" s="2" t="s">
        <v>55</v>
      </c>
      <c r="M87" s="2" t="s">
        <v>816</v>
      </c>
      <c r="N87" s="2" t="s">
        <v>817</v>
      </c>
      <c r="O87" s="2" t="s">
        <v>818</v>
      </c>
      <c r="P87" s="2" t="s">
        <v>819</v>
      </c>
      <c r="Q87" s="3" t="str">
        <f t="shared" si="1"/>
        <v/>
      </c>
      <c r="R87" s="3" t="str">
        <f t="shared" si="2"/>
        <v/>
      </c>
      <c r="S87" s="3" t="str">
        <f t="shared" si="3"/>
        <v/>
      </c>
      <c r="T87" s="3" t="str">
        <f t="shared" si="4"/>
        <v/>
      </c>
      <c r="U87" s="3">
        <f t="shared" si="12"/>
        <v>94</v>
      </c>
      <c r="V87" s="3">
        <f t="shared" si="6"/>
        <v>90</v>
      </c>
      <c r="W87" s="3">
        <f t="shared" si="7"/>
        <v>97</v>
      </c>
      <c r="X87" s="3" t="str">
        <f t="shared" si="8"/>
        <v/>
      </c>
      <c r="Y87" s="3" t="str">
        <f t="shared" si="9"/>
        <v/>
      </c>
      <c r="Z87" s="3" t="str">
        <f t="shared" si="10"/>
        <v/>
      </c>
      <c r="AA87" s="3">
        <f t="shared" si="11"/>
        <v>0</v>
      </c>
    </row>
    <row r="88">
      <c r="A88" s="1" t="s">
        <v>820</v>
      </c>
      <c r="B88" s="2" t="s">
        <v>28</v>
      </c>
      <c r="C88" s="2" t="s">
        <v>821</v>
      </c>
      <c r="D88" s="2" t="s">
        <v>54</v>
      </c>
      <c r="E88" s="2" t="s">
        <v>54</v>
      </c>
      <c r="F88" s="2" t="s">
        <v>55</v>
      </c>
      <c r="G88" s="2" t="s">
        <v>55</v>
      </c>
      <c r="H88" s="2" t="s">
        <v>55</v>
      </c>
      <c r="I88" s="1" t="s">
        <v>112</v>
      </c>
      <c r="J88" s="1" t="s">
        <v>112</v>
      </c>
      <c r="K88" s="1" t="s">
        <v>112</v>
      </c>
      <c r="L88" s="1" t="s">
        <v>112</v>
      </c>
      <c r="M88" s="2" t="s">
        <v>54</v>
      </c>
      <c r="N88" s="2" t="s">
        <v>55</v>
      </c>
      <c r="O88" s="2" t="s">
        <v>55</v>
      </c>
      <c r="P88" s="2" t="s">
        <v>55</v>
      </c>
      <c r="Q88" s="3">
        <f t="shared" si="1"/>
        <v>5</v>
      </c>
      <c r="R88" s="3">
        <f t="shared" si="2"/>
        <v>0</v>
      </c>
      <c r="S88" s="3" t="str">
        <f t="shared" si="3"/>
        <v/>
      </c>
      <c r="T88" s="3">
        <f t="shared" si="4"/>
        <v>0</v>
      </c>
      <c r="U88" s="3">
        <f t="shared" si="12"/>
        <v>100</v>
      </c>
      <c r="V88" s="3">
        <f t="shared" si="6"/>
        <v>0</v>
      </c>
      <c r="W88" s="3">
        <f t="shared" si="7"/>
        <v>100</v>
      </c>
      <c r="X88" s="3" t="str">
        <f t="shared" si="8"/>
        <v>full access</v>
      </c>
      <c r="Y88" s="3" t="str">
        <f t="shared" si="9"/>
        <v/>
      </c>
      <c r="Z88" s="3" t="str">
        <f t="shared" si="10"/>
        <v>full access</v>
      </c>
      <c r="AA88" s="3">
        <f t="shared" si="11"/>
        <v>0</v>
      </c>
    </row>
    <row r="89">
      <c r="A89" s="1" t="s">
        <v>820</v>
      </c>
      <c r="B89" s="2" t="s">
        <v>43</v>
      </c>
      <c r="C89" s="2" t="s">
        <v>822</v>
      </c>
      <c r="D89" s="2" t="s">
        <v>54</v>
      </c>
      <c r="E89" s="2" t="s">
        <v>54</v>
      </c>
      <c r="F89" s="2" t="s">
        <v>55</v>
      </c>
      <c r="G89" s="2" t="s">
        <v>55</v>
      </c>
      <c r="H89" s="2" t="s">
        <v>55</v>
      </c>
      <c r="I89" s="1" t="s">
        <v>112</v>
      </c>
      <c r="J89" s="1" t="s">
        <v>112</v>
      </c>
      <c r="K89" s="1" t="s">
        <v>112</v>
      </c>
      <c r="L89" s="1" t="s">
        <v>112</v>
      </c>
      <c r="M89" s="2" t="s">
        <v>54</v>
      </c>
      <c r="N89" s="2" t="s">
        <v>55</v>
      </c>
      <c r="O89" s="2" t="s">
        <v>55</v>
      </c>
      <c r="P89" s="2" t="s">
        <v>55</v>
      </c>
      <c r="Q89" s="3" t="str">
        <f t="shared" si="1"/>
        <v/>
      </c>
      <c r="R89" s="3" t="str">
        <f t="shared" si="2"/>
        <v/>
      </c>
      <c r="S89" s="3" t="str">
        <f t="shared" si="3"/>
        <v/>
      </c>
      <c r="T89" s="3" t="str">
        <f t="shared" si="4"/>
        <v/>
      </c>
      <c r="U89" s="3">
        <f t="shared" si="12"/>
        <v>100</v>
      </c>
      <c r="V89" s="3">
        <f t="shared" si="6"/>
        <v>0</v>
      </c>
      <c r="W89" s="3">
        <f t="shared" si="7"/>
        <v>100</v>
      </c>
      <c r="X89" s="3" t="str">
        <f t="shared" si="8"/>
        <v/>
      </c>
      <c r="Y89" s="3" t="str">
        <f t="shared" si="9"/>
        <v/>
      </c>
      <c r="Z89" s="3" t="str">
        <f t="shared" si="10"/>
        <v/>
      </c>
      <c r="AA89" s="3">
        <f t="shared" si="11"/>
        <v>0</v>
      </c>
    </row>
    <row r="90">
      <c r="A90" s="1" t="s">
        <v>823</v>
      </c>
      <c r="B90" s="2" t="s">
        <v>28</v>
      </c>
      <c r="C90" s="2" t="s">
        <v>824</v>
      </c>
      <c r="D90" s="2" t="s">
        <v>54</v>
      </c>
      <c r="E90" s="2" t="s">
        <v>54</v>
      </c>
      <c r="F90" s="2" t="s">
        <v>55</v>
      </c>
      <c r="G90" s="2" t="s">
        <v>55</v>
      </c>
      <c r="H90" s="2" t="s">
        <v>55</v>
      </c>
      <c r="I90" s="1" t="s">
        <v>112</v>
      </c>
      <c r="J90" s="1" t="s">
        <v>112</v>
      </c>
      <c r="K90" s="1" t="s">
        <v>112</v>
      </c>
      <c r="L90" s="1" t="s">
        <v>112</v>
      </c>
      <c r="M90" s="2" t="s">
        <v>54</v>
      </c>
      <c r="N90" s="2" t="s">
        <v>55</v>
      </c>
      <c r="O90" s="2" t="s">
        <v>55</v>
      </c>
      <c r="P90" s="2" t="s">
        <v>55</v>
      </c>
      <c r="Q90" s="3">
        <f t="shared" si="1"/>
        <v>5</v>
      </c>
      <c r="R90" s="3">
        <f t="shared" si="2"/>
        <v>0</v>
      </c>
      <c r="S90" s="3" t="str">
        <f t="shared" si="3"/>
        <v/>
      </c>
      <c r="T90" s="3">
        <f t="shared" si="4"/>
        <v>0</v>
      </c>
      <c r="U90" s="3">
        <f t="shared" si="12"/>
        <v>100</v>
      </c>
      <c r="V90" s="3">
        <f t="shared" si="6"/>
        <v>0</v>
      </c>
      <c r="W90" s="3">
        <f t="shared" si="7"/>
        <v>100</v>
      </c>
      <c r="X90" s="3" t="str">
        <f t="shared" si="8"/>
        <v>full access</v>
      </c>
      <c r="Y90" s="3" t="str">
        <f t="shared" si="9"/>
        <v/>
      </c>
      <c r="Z90" s="3" t="str">
        <f t="shared" si="10"/>
        <v>full access</v>
      </c>
      <c r="AA90" s="3">
        <f t="shared" si="11"/>
        <v>0</v>
      </c>
    </row>
    <row r="91">
      <c r="A91" s="1" t="s">
        <v>823</v>
      </c>
      <c r="B91" s="2" t="s">
        <v>43</v>
      </c>
      <c r="C91" s="2" t="s">
        <v>825</v>
      </c>
      <c r="D91" s="2" t="s">
        <v>54</v>
      </c>
      <c r="E91" s="2" t="s">
        <v>54</v>
      </c>
      <c r="F91" s="2" t="s">
        <v>55</v>
      </c>
      <c r="G91" s="2" t="s">
        <v>55</v>
      </c>
      <c r="H91" s="2" t="s">
        <v>55</v>
      </c>
      <c r="I91" s="1" t="s">
        <v>112</v>
      </c>
      <c r="J91" s="1" t="s">
        <v>112</v>
      </c>
      <c r="K91" s="1" t="s">
        <v>112</v>
      </c>
      <c r="L91" s="1" t="s">
        <v>112</v>
      </c>
      <c r="M91" s="2" t="s">
        <v>54</v>
      </c>
      <c r="N91" s="2" t="s">
        <v>55</v>
      </c>
      <c r="O91" s="2" t="s">
        <v>55</v>
      </c>
      <c r="P91" s="2" t="s">
        <v>55</v>
      </c>
      <c r="Q91" s="3" t="str">
        <f t="shared" si="1"/>
        <v/>
      </c>
      <c r="R91" s="3" t="str">
        <f t="shared" si="2"/>
        <v/>
      </c>
      <c r="S91" s="3" t="str">
        <f t="shared" si="3"/>
        <v/>
      </c>
      <c r="T91" s="3" t="str">
        <f t="shared" si="4"/>
        <v/>
      </c>
      <c r="U91" s="3">
        <f t="shared" si="12"/>
        <v>100</v>
      </c>
      <c r="V91" s="3">
        <f t="shared" si="6"/>
        <v>0</v>
      </c>
      <c r="W91" s="3">
        <f t="shared" si="7"/>
        <v>100</v>
      </c>
      <c r="X91" s="3" t="str">
        <f t="shared" si="8"/>
        <v/>
      </c>
      <c r="Y91" s="3" t="str">
        <f t="shared" si="9"/>
        <v/>
      </c>
      <c r="Z91" s="3" t="str">
        <f t="shared" si="10"/>
        <v/>
      </c>
      <c r="AA91" s="3">
        <f t="shared" si="11"/>
        <v>0</v>
      </c>
    </row>
    <row r="92">
      <c r="A92" s="1" t="s">
        <v>826</v>
      </c>
      <c r="B92" s="2" t="s">
        <v>28</v>
      </c>
      <c r="C92" s="2" t="s">
        <v>827</v>
      </c>
      <c r="D92" s="2" t="s">
        <v>828</v>
      </c>
      <c r="E92" s="2" t="s">
        <v>829</v>
      </c>
      <c r="F92" s="2" t="s">
        <v>830</v>
      </c>
      <c r="G92" s="2" t="s">
        <v>831</v>
      </c>
      <c r="H92" s="2" t="s">
        <v>832</v>
      </c>
      <c r="I92" s="2" t="s">
        <v>833</v>
      </c>
      <c r="J92" s="2" t="s">
        <v>834</v>
      </c>
      <c r="K92" s="2" t="s">
        <v>835</v>
      </c>
      <c r="L92" s="2" t="s">
        <v>836</v>
      </c>
      <c r="M92" s="2" t="s">
        <v>837</v>
      </c>
      <c r="N92" s="2" t="s">
        <v>838</v>
      </c>
      <c r="O92" s="2" t="s">
        <v>839</v>
      </c>
      <c r="P92" s="2" t="s">
        <v>55</v>
      </c>
      <c r="Q92" s="3">
        <f t="shared" si="1"/>
        <v>5</v>
      </c>
      <c r="R92" s="3">
        <f t="shared" si="2"/>
        <v>0.231157798</v>
      </c>
      <c r="S92" s="3">
        <f t="shared" si="3"/>
        <v>0.698669394</v>
      </c>
      <c r="T92" s="3">
        <f t="shared" si="4"/>
        <v>0.057696086</v>
      </c>
      <c r="U92" s="3">
        <f t="shared" si="12"/>
        <v>96</v>
      </c>
      <c r="V92" s="3">
        <f t="shared" si="6"/>
        <v>83</v>
      </c>
      <c r="W92" s="3">
        <f t="shared" si="7"/>
        <v>100</v>
      </c>
      <c r="X92" s="3" t="str">
        <f t="shared" si="8"/>
        <v/>
      </c>
      <c r="Y92" s="3" t="str">
        <f t="shared" si="9"/>
        <v/>
      </c>
      <c r="Z92" s="3" t="str">
        <f t="shared" si="10"/>
        <v>full access</v>
      </c>
      <c r="AA92" s="3">
        <f t="shared" si="11"/>
        <v>0.640973308</v>
      </c>
    </row>
    <row r="93">
      <c r="A93" s="1" t="s">
        <v>826</v>
      </c>
      <c r="B93" s="2" t="s">
        <v>43</v>
      </c>
      <c r="C93" s="2" t="s">
        <v>840</v>
      </c>
      <c r="D93" s="2" t="s">
        <v>841</v>
      </c>
      <c r="E93" s="2" t="s">
        <v>842</v>
      </c>
      <c r="F93" s="2" t="s">
        <v>843</v>
      </c>
      <c r="G93" s="2" t="s">
        <v>844</v>
      </c>
      <c r="H93" s="2" t="s">
        <v>845</v>
      </c>
      <c r="I93" s="2" t="s">
        <v>846</v>
      </c>
      <c r="J93" s="2" t="s">
        <v>847</v>
      </c>
      <c r="K93" s="2" t="s">
        <v>848</v>
      </c>
      <c r="L93" s="2" t="s">
        <v>849</v>
      </c>
      <c r="M93" s="2" t="s">
        <v>850</v>
      </c>
      <c r="N93" s="2" t="s">
        <v>851</v>
      </c>
      <c r="O93" s="2" t="s">
        <v>55</v>
      </c>
      <c r="P93" s="2" t="s">
        <v>55</v>
      </c>
      <c r="Q93" s="3" t="str">
        <f t="shared" si="1"/>
        <v/>
      </c>
      <c r="R93" s="3" t="str">
        <f t="shared" si="2"/>
        <v/>
      </c>
      <c r="S93" s="3" t="str">
        <f t="shared" si="3"/>
        <v/>
      </c>
      <c r="T93" s="3" t="str">
        <f t="shared" si="4"/>
        <v/>
      </c>
      <c r="U93" s="3">
        <f t="shared" si="12"/>
        <v>97</v>
      </c>
      <c r="V93" s="3">
        <f t="shared" si="6"/>
        <v>87</v>
      </c>
      <c r="W93" s="3">
        <f t="shared" si="7"/>
        <v>100</v>
      </c>
      <c r="X93" s="3" t="str">
        <f t="shared" si="8"/>
        <v/>
      </c>
      <c r="Y93" s="3" t="str">
        <f t="shared" si="9"/>
        <v/>
      </c>
      <c r="Z93" s="3" t="str">
        <f t="shared" si="10"/>
        <v/>
      </c>
      <c r="AA93" s="3">
        <f t="shared" si="11"/>
        <v>0</v>
      </c>
    </row>
    <row r="94">
      <c r="A94" s="1" t="s">
        <v>852</v>
      </c>
      <c r="B94" s="2" t="s">
        <v>28</v>
      </c>
      <c r="C94" s="2" t="s">
        <v>853</v>
      </c>
      <c r="D94" s="2" t="s">
        <v>854</v>
      </c>
      <c r="E94" s="2" t="s">
        <v>855</v>
      </c>
      <c r="F94" s="2" t="s">
        <v>856</v>
      </c>
      <c r="G94" s="2" t="s">
        <v>857</v>
      </c>
      <c r="H94" s="2" t="s">
        <v>858</v>
      </c>
      <c r="I94" s="2" t="s">
        <v>859</v>
      </c>
      <c r="J94" s="2" t="s">
        <v>860</v>
      </c>
      <c r="K94" s="2" t="s">
        <v>861</v>
      </c>
      <c r="L94" s="2" t="s">
        <v>862</v>
      </c>
      <c r="M94" s="2" t="s">
        <v>863</v>
      </c>
      <c r="N94" s="2" t="s">
        <v>864</v>
      </c>
      <c r="O94" s="2" t="s">
        <v>865</v>
      </c>
      <c r="P94" s="2" t="s">
        <v>866</v>
      </c>
      <c r="Q94" s="3">
        <f t="shared" si="1"/>
        <v>4</v>
      </c>
      <c r="R94" s="3">
        <f t="shared" si="2"/>
        <v>0.0196244325</v>
      </c>
      <c r="S94" s="3">
        <f t="shared" si="3"/>
        <v>0</v>
      </c>
      <c r="T94" s="3">
        <f t="shared" si="4"/>
        <v>0</v>
      </c>
      <c r="U94" s="3">
        <f t="shared" si="12"/>
        <v>80</v>
      </c>
      <c r="V94" s="3">
        <f t="shared" si="6"/>
        <v>77</v>
      </c>
      <c r="W94" s="3">
        <f t="shared" si="7"/>
        <v>88</v>
      </c>
      <c r="X94" s="3" t="str">
        <f t="shared" si="8"/>
        <v/>
      </c>
      <c r="Y94" s="3" t="str">
        <f t="shared" si="9"/>
        <v/>
      </c>
      <c r="Z94" s="3" t="str">
        <f t="shared" si="10"/>
        <v/>
      </c>
      <c r="AA94" s="3">
        <f t="shared" si="11"/>
        <v>0</v>
      </c>
    </row>
    <row r="95">
      <c r="A95" s="1" t="s">
        <v>852</v>
      </c>
      <c r="B95" s="2" t="s">
        <v>251</v>
      </c>
      <c r="C95" s="2" t="s">
        <v>867</v>
      </c>
      <c r="D95" s="2" t="s">
        <v>868</v>
      </c>
      <c r="E95" s="2" t="s">
        <v>869</v>
      </c>
      <c r="F95" s="2" t="s">
        <v>870</v>
      </c>
      <c r="G95" s="2" t="s">
        <v>871</v>
      </c>
      <c r="H95" s="1" t="s">
        <v>112</v>
      </c>
      <c r="I95" s="2" t="s">
        <v>859</v>
      </c>
      <c r="J95" s="2" t="s">
        <v>860</v>
      </c>
      <c r="K95" s="2" t="s">
        <v>872</v>
      </c>
      <c r="L95" s="1" t="s">
        <v>112</v>
      </c>
      <c r="M95" s="2" t="s">
        <v>863</v>
      </c>
      <c r="N95" s="2" t="s">
        <v>864</v>
      </c>
      <c r="O95" s="2" t="s">
        <v>865</v>
      </c>
      <c r="P95" s="2" t="s">
        <v>866</v>
      </c>
      <c r="Q95" s="3" t="str">
        <f t="shared" si="1"/>
        <v/>
      </c>
      <c r="R95" s="3" t="str">
        <f t="shared" si="2"/>
        <v/>
      </c>
      <c r="S95" s="3" t="str">
        <f t="shared" si="3"/>
        <v/>
      </c>
      <c r="T95" s="3" t="str">
        <f t="shared" si="4"/>
        <v/>
      </c>
      <c r="U95" s="3">
        <f t="shared" si="12"/>
        <v>80</v>
      </c>
      <c r="V95" s="3">
        <f t="shared" si="6"/>
        <v>77</v>
      </c>
      <c r="W95" s="3">
        <f t="shared" si="7"/>
        <v>88</v>
      </c>
      <c r="X95" s="3" t="str">
        <f t="shared" si="8"/>
        <v/>
      </c>
      <c r="Y95" s="3" t="str">
        <f t="shared" si="9"/>
        <v/>
      </c>
      <c r="Z95" s="3" t="str">
        <f t="shared" si="10"/>
        <v/>
      </c>
      <c r="AA95" s="3">
        <f t="shared" si="11"/>
        <v>0</v>
      </c>
    </row>
    <row r="96">
      <c r="A96" s="1" t="s">
        <v>873</v>
      </c>
      <c r="B96" s="2" t="s">
        <v>28</v>
      </c>
      <c r="C96" s="2" t="s">
        <v>874</v>
      </c>
      <c r="D96" s="2" t="s">
        <v>875</v>
      </c>
      <c r="E96" s="2" t="s">
        <v>876</v>
      </c>
      <c r="F96" s="2" t="s">
        <v>877</v>
      </c>
      <c r="G96" s="2" t="s">
        <v>878</v>
      </c>
      <c r="H96" s="2" t="s">
        <v>879</v>
      </c>
      <c r="I96" s="2" t="s">
        <v>880</v>
      </c>
      <c r="J96" s="2" t="s">
        <v>881</v>
      </c>
      <c r="K96" s="2" t="s">
        <v>882</v>
      </c>
      <c r="L96" s="2" t="s">
        <v>883</v>
      </c>
      <c r="M96" s="2" t="s">
        <v>884</v>
      </c>
      <c r="N96" s="2" t="s">
        <v>885</v>
      </c>
      <c r="O96" s="2" t="s">
        <v>886</v>
      </c>
      <c r="P96" s="2" t="s">
        <v>887</v>
      </c>
      <c r="Q96" s="3">
        <f t="shared" si="1"/>
        <v>5</v>
      </c>
      <c r="R96" s="3">
        <f t="shared" si="2"/>
        <v>0.526985962</v>
      </c>
      <c r="S96" s="3">
        <f t="shared" si="3"/>
        <v>0.866515448</v>
      </c>
      <c r="T96" s="3">
        <f t="shared" si="4"/>
        <v>0.0599182</v>
      </c>
      <c r="U96" s="3">
        <f t="shared" si="12"/>
        <v>71</v>
      </c>
      <c r="V96" s="3">
        <f t="shared" si="6"/>
        <v>41</v>
      </c>
      <c r="W96" s="3">
        <f t="shared" si="7"/>
        <v>87</v>
      </c>
      <c r="X96" s="3" t="str">
        <f t="shared" si="8"/>
        <v/>
      </c>
      <c r="Y96" s="3" t="str">
        <f t="shared" si="9"/>
        <v/>
      </c>
      <c r="Z96" s="3" t="str">
        <f t="shared" si="10"/>
        <v/>
      </c>
      <c r="AA96" s="3">
        <f t="shared" si="11"/>
        <v>0.806597248</v>
      </c>
    </row>
    <row r="97">
      <c r="A97" s="1" t="s">
        <v>873</v>
      </c>
      <c r="B97" s="2" t="s">
        <v>43</v>
      </c>
      <c r="C97" s="2" t="s">
        <v>888</v>
      </c>
      <c r="D97" s="2" t="s">
        <v>889</v>
      </c>
      <c r="E97" s="2" t="s">
        <v>890</v>
      </c>
      <c r="F97" s="2" t="s">
        <v>891</v>
      </c>
      <c r="G97" s="2" t="s">
        <v>892</v>
      </c>
      <c r="H97" s="2" t="s">
        <v>893</v>
      </c>
      <c r="I97" s="2" t="s">
        <v>894</v>
      </c>
      <c r="J97" s="2" t="s">
        <v>895</v>
      </c>
      <c r="K97" s="2" t="s">
        <v>896</v>
      </c>
      <c r="L97" s="2" t="s">
        <v>897</v>
      </c>
      <c r="M97" s="2" t="s">
        <v>898</v>
      </c>
      <c r="N97" s="2" t="s">
        <v>899</v>
      </c>
      <c r="O97" s="2" t="s">
        <v>900</v>
      </c>
      <c r="P97" s="2" t="s">
        <v>901</v>
      </c>
      <c r="Q97" s="3" t="str">
        <f t="shared" si="1"/>
        <v/>
      </c>
      <c r="R97" s="3" t="str">
        <f t="shared" si="2"/>
        <v/>
      </c>
      <c r="S97" s="3" t="str">
        <f t="shared" si="3"/>
        <v/>
      </c>
      <c r="T97" s="3" t="str">
        <f t="shared" si="4"/>
        <v/>
      </c>
      <c r="U97" s="3">
        <f t="shared" si="12"/>
        <v>74</v>
      </c>
      <c r="V97" s="3">
        <f t="shared" si="6"/>
        <v>46</v>
      </c>
      <c r="W97" s="3">
        <f t="shared" si="7"/>
        <v>87</v>
      </c>
      <c r="X97" s="3" t="str">
        <f t="shared" si="8"/>
        <v/>
      </c>
      <c r="Y97" s="3" t="str">
        <f t="shared" si="9"/>
        <v/>
      </c>
      <c r="Z97" s="3" t="str">
        <f t="shared" si="10"/>
        <v/>
      </c>
      <c r="AA97" s="3">
        <f t="shared" si="11"/>
        <v>0</v>
      </c>
    </row>
    <row r="98">
      <c r="A98" s="1" t="s">
        <v>902</v>
      </c>
      <c r="B98" s="2" t="s">
        <v>28</v>
      </c>
      <c r="C98" s="2" t="s">
        <v>903</v>
      </c>
      <c r="D98" s="2" t="s">
        <v>904</v>
      </c>
      <c r="E98" s="2" t="s">
        <v>905</v>
      </c>
      <c r="F98" s="2" t="s">
        <v>55</v>
      </c>
      <c r="G98" s="2" t="s">
        <v>906</v>
      </c>
      <c r="H98" s="2" t="s">
        <v>55</v>
      </c>
      <c r="I98" s="1" t="s">
        <v>112</v>
      </c>
      <c r="J98" s="1" t="s">
        <v>112</v>
      </c>
      <c r="K98" s="1" t="s">
        <v>112</v>
      </c>
      <c r="L98" s="1" t="s">
        <v>112</v>
      </c>
      <c r="M98" s="1" t="s">
        <v>112</v>
      </c>
      <c r="N98" s="1" t="s">
        <v>112</v>
      </c>
      <c r="O98" s="1" t="s">
        <v>112</v>
      </c>
      <c r="P98" s="1" t="s">
        <v>112</v>
      </c>
      <c r="Q98" s="3">
        <f t="shared" si="1"/>
        <v>5</v>
      </c>
      <c r="R98" s="3">
        <f t="shared" si="2"/>
        <v>0.00358784</v>
      </c>
      <c r="S98" s="3" t="str">
        <f t="shared" si="3"/>
        <v/>
      </c>
      <c r="T98" s="3" t="str">
        <f t="shared" si="4"/>
        <v/>
      </c>
      <c r="U98" s="3">
        <f t="shared" si="12"/>
        <v>100</v>
      </c>
      <c r="V98" s="3">
        <f t="shared" si="6"/>
        <v>0</v>
      </c>
      <c r="W98" s="3">
        <f t="shared" si="7"/>
        <v>0</v>
      </c>
      <c r="X98" s="3" t="str">
        <f t="shared" si="8"/>
        <v>full access</v>
      </c>
      <c r="Y98" s="3" t="str">
        <f t="shared" si="9"/>
        <v/>
      </c>
      <c r="Z98" s="3" t="str">
        <f t="shared" si="10"/>
        <v/>
      </c>
      <c r="AA98" s="3">
        <f t="shared" si="11"/>
        <v>0</v>
      </c>
    </row>
    <row r="99">
      <c r="A99" s="1" t="s">
        <v>902</v>
      </c>
      <c r="B99" s="2" t="s">
        <v>43</v>
      </c>
      <c r="C99" s="2" t="s">
        <v>907</v>
      </c>
      <c r="D99" s="2" t="s">
        <v>908</v>
      </c>
      <c r="E99" s="2" t="s">
        <v>909</v>
      </c>
      <c r="F99" s="2" t="s">
        <v>55</v>
      </c>
      <c r="G99" s="2" t="s">
        <v>910</v>
      </c>
      <c r="H99" s="2" t="s">
        <v>55</v>
      </c>
      <c r="I99" s="1" t="s">
        <v>112</v>
      </c>
      <c r="J99" s="1" t="s">
        <v>112</v>
      </c>
      <c r="K99" s="1" t="s">
        <v>112</v>
      </c>
      <c r="L99" s="1" t="s">
        <v>112</v>
      </c>
      <c r="M99" s="1" t="s">
        <v>112</v>
      </c>
      <c r="N99" s="1" t="s">
        <v>112</v>
      </c>
      <c r="O99" s="1" t="s">
        <v>112</v>
      </c>
      <c r="P99" s="1" t="s">
        <v>112</v>
      </c>
      <c r="Q99" s="3" t="str">
        <f t="shared" si="1"/>
        <v/>
      </c>
      <c r="R99" s="3" t="str">
        <f t="shared" si="2"/>
        <v/>
      </c>
      <c r="S99" s="3" t="str">
        <f t="shared" si="3"/>
        <v/>
      </c>
      <c r="T99" s="3" t="str">
        <f t="shared" si="4"/>
        <v/>
      </c>
      <c r="U99" s="3">
        <f t="shared" si="12"/>
        <v>100</v>
      </c>
      <c r="V99" s="3">
        <f t="shared" si="6"/>
        <v>0</v>
      </c>
      <c r="W99" s="3">
        <f t="shared" si="7"/>
        <v>0</v>
      </c>
      <c r="X99" s="3" t="str">
        <f t="shared" si="8"/>
        <v/>
      </c>
      <c r="Y99" s="3" t="str">
        <f t="shared" si="9"/>
        <v/>
      </c>
      <c r="Z99" s="3" t="str">
        <f t="shared" si="10"/>
        <v/>
      </c>
      <c r="AA99" s="3">
        <f t="shared" si="11"/>
        <v>0</v>
      </c>
    </row>
    <row r="100">
      <c r="A100" s="1" t="s">
        <v>911</v>
      </c>
      <c r="B100" s="2" t="s">
        <v>28</v>
      </c>
      <c r="C100" s="2" t="s">
        <v>912</v>
      </c>
      <c r="D100" s="2" t="s">
        <v>913</v>
      </c>
      <c r="E100" s="2" t="s">
        <v>914</v>
      </c>
      <c r="F100" s="2" t="s">
        <v>915</v>
      </c>
      <c r="G100" s="2" t="s">
        <v>916</v>
      </c>
      <c r="H100" s="2" t="s">
        <v>917</v>
      </c>
      <c r="I100" s="2" t="s">
        <v>918</v>
      </c>
      <c r="J100" s="2" t="s">
        <v>919</v>
      </c>
      <c r="K100" s="2" t="s">
        <v>920</v>
      </c>
      <c r="L100" s="2" t="s">
        <v>921</v>
      </c>
      <c r="M100" s="2" t="s">
        <v>922</v>
      </c>
      <c r="N100" s="2" t="s">
        <v>923</v>
      </c>
      <c r="O100" s="2" t="s">
        <v>924</v>
      </c>
      <c r="P100" s="2" t="s">
        <v>55</v>
      </c>
      <c r="Q100" s="3">
        <f t="shared" si="1"/>
        <v>5</v>
      </c>
      <c r="R100" s="3">
        <f t="shared" si="2"/>
        <v>0.086370022</v>
      </c>
      <c r="S100" s="3">
        <f t="shared" si="3"/>
        <v>0.292043502</v>
      </c>
      <c r="T100" s="3">
        <f t="shared" si="4"/>
        <v>0.02238755</v>
      </c>
      <c r="U100" s="3">
        <f t="shared" si="12"/>
        <v>99</v>
      </c>
      <c r="V100" s="3">
        <f t="shared" si="6"/>
        <v>98</v>
      </c>
      <c r="W100" s="3">
        <f t="shared" si="7"/>
        <v>100</v>
      </c>
      <c r="X100" s="3" t="str">
        <f t="shared" si="8"/>
        <v/>
      </c>
      <c r="Y100" s="3" t="str">
        <f t="shared" si="9"/>
        <v/>
      </c>
      <c r="Z100" s="3" t="str">
        <f t="shared" si="10"/>
        <v>full access</v>
      </c>
      <c r="AA100" s="3">
        <f t="shared" si="11"/>
        <v>0.269655952</v>
      </c>
    </row>
    <row r="101">
      <c r="A101" s="1" t="s">
        <v>911</v>
      </c>
      <c r="B101" s="2" t="s">
        <v>43</v>
      </c>
      <c r="C101" s="2" t="s">
        <v>925</v>
      </c>
      <c r="D101" s="2" t="s">
        <v>926</v>
      </c>
      <c r="E101" s="2" t="s">
        <v>927</v>
      </c>
      <c r="F101" s="2" t="s">
        <v>928</v>
      </c>
      <c r="G101" s="2" t="s">
        <v>929</v>
      </c>
      <c r="H101" s="2" t="s">
        <v>55</v>
      </c>
      <c r="I101" s="2" t="s">
        <v>930</v>
      </c>
      <c r="J101" s="2" t="s">
        <v>931</v>
      </c>
      <c r="K101" s="2" t="s">
        <v>55</v>
      </c>
      <c r="L101" s="2" t="s">
        <v>55</v>
      </c>
      <c r="M101" s="2" t="s">
        <v>932</v>
      </c>
      <c r="N101" s="2" t="s">
        <v>933</v>
      </c>
      <c r="O101" s="2" t="s">
        <v>55</v>
      </c>
      <c r="P101" s="2" t="s">
        <v>55</v>
      </c>
      <c r="Q101" s="3" t="str">
        <f t="shared" si="1"/>
        <v/>
      </c>
      <c r="R101" s="3" t="str">
        <f t="shared" si="2"/>
        <v/>
      </c>
      <c r="S101" s="3" t="str">
        <f t="shared" si="3"/>
        <v/>
      </c>
      <c r="T101" s="3" t="str">
        <f t="shared" si="4"/>
        <v/>
      </c>
      <c r="U101" s="3">
        <f t="shared" si="12"/>
        <v>100</v>
      </c>
      <c r="V101" s="3">
        <f t="shared" si="6"/>
        <v>100</v>
      </c>
      <c r="W101" s="3">
        <f t="shared" si="7"/>
        <v>100</v>
      </c>
      <c r="X101" s="3" t="str">
        <f t="shared" si="8"/>
        <v/>
      </c>
      <c r="Y101" s="3" t="str">
        <f t="shared" si="9"/>
        <v/>
      </c>
      <c r="Z101" s="3" t="str">
        <f t="shared" si="10"/>
        <v/>
      </c>
      <c r="AA101" s="3">
        <f t="shared" si="11"/>
        <v>0</v>
      </c>
    </row>
    <row r="102">
      <c r="A102" s="1" t="s">
        <v>934</v>
      </c>
      <c r="B102" s="2" t="s">
        <v>28</v>
      </c>
      <c r="C102" s="2" t="s">
        <v>935</v>
      </c>
      <c r="D102" s="2" t="s">
        <v>936</v>
      </c>
      <c r="E102" s="2" t="s">
        <v>937</v>
      </c>
      <c r="F102" s="2" t="s">
        <v>938</v>
      </c>
      <c r="G102" s="2" t="s">
        <v>939</v>
      </c>
      <c r="H102" s="2" t="s">
        <v>940</v>
      </c>
      <c r="I102" s="2" t="s">
        <v>941</v>
      </c>
      <c r="J102" s="2" t="s">
        <v>942</v>
      </c>
      <c r="K102" s="2" t="s">
        <v>943</v>
      </c>
      <c r="L102" s="2" t="s">
        <v>944</v>
      </c>
      <c r="M102" s="2" t="s">
        <v>945</v>
      </c>
      <c r="N102" s="2" t="s">
        <v>946</v>
      </c>
      <c r="O102" s="2" t="s">
        <v>947</v>
      </c>
      <c r="P102" s="2" t="s">
        <v>948</v>
      </c>
      <c r="Q102" s="3">
        <f t="shared" si="1"/>
        <v>5</v>
      </c>
      <c r="R102" s="3">
        <f t="shared" si="2"/>
        <v>-0.033339302</v>
      </c>
      <c r="S102" s="3">
        <f t="shared" si="3"/>
        <v>-0.024144972</v>
      </c>
      <c r="T102" s="3">
        <f t="shared" si="4"/>
        <v>-0.311478412</v>
      </c>
      <c r="U102" s="3">
        <f t="shared" si="12"/>
        <v>71</v>
      </c>
      <c r="V102" s="3">
        <f t="shared" si="6"/>
        <v>56</v>
      </c>
      <c r="W102" s="3">
        <f t="shared" si="7"/>
        <v>87</v>
      </c>
      <c r="X102" s="3" t="str">
        <f t="shared" si="8"/>
        <v/>
      </c>
      <c r="Y102" s="3" t="str">
        <f t="shared" si="9"/>
        <v/>
      </c>
      <c r="Z102" s="3" t="str">
        <f t="shared" si="10"/>
        <v/>
      </c>
      <c r="AA102" s="3">
        <f t="shared" si="11"/>
        <v>0.28733344</v>
      </c>
    </row>
    <row r="103">
      <c r="A103" s="1" t="s">
        <v>934</v>
      </c>
      <c r="B103" s="2" t="s">
        <v>43</v>
      </c>
      <c r="C103" s="2" t="s">
        <v>949</v>
      </c>
      <c r="D103" s="2" t="s">
        <v>950</v>
      </c>
      <c r="E103" s="2" t="s">
        <v>951</v>
      </c>
      <c r="F103" s="2" t="s">
        <v>952</v>
      </c>
      <c r="G103" s="2" t="s">
        <v>953</v>
      </c>
      <c r="H103" s="2" t="s">
        <v>954</v>
      </c>
      <c r="I103" s="2" t="s">
        <v>955</v>
      </c>
      <c r="J103" s="2" t="s">
        <v>956</v>
      </c>
      <c r="K103" s="2" t="s">
        <v>957</v>
      </c>
      <c r="L103" s="2" t="s">
        <v>958</v>
      </c>
      <c r="M103" s="2" t="s">
        <v>959</v>
      </c>
      <c r="N103" s="2" t="s">
        <v>960</v>
      </c>
      <c r="O103" s="2" t="s">
        <v>961</v>
      </c>
      <c r="P103" s="2" t="s">
        <v>962</v>
      </c>
      <c r="Q103" s="3" t="str">
        <f t="shared" si="1"/>
        <v/>
      </c>
      <c r="R103" s="3" t="str">
        <f t="shared" si="2"/>
        <v/>
      </c>
      <c r="S103" s="3" t="str">
        <f t="shared" si="3"/>
        <v/>
      </c>
      <c r="T103" s="3" t="str">
        <f t="shared" si="4"/>
        <v/>
      </c>
      <c r="U103" s="3">
        <f t="shared" si="12"/>
        <v>71</v>
      </c>
      <c r="V103" s="3">
        <f t="shared" si="6"/>
        <v>56</v>
      </c>
      <c r="W103" s="3">
        <f t="shared" si="7"/>
        <v>85</v>
      </c>
      <c r="X103" s="3" t="str">
        <f t="shared" si="8"/>
        <v/>
      </c>
      <c r="Y103" s="3" t="str">
        <f t="shared" si="9"/>
        <v/>
      </c>
      <c r="Z103" s="3" t="str">
        <f t="shared" si="10"/>
        <v/>
      </c>
      <c r="AA103" s="3">
        <f t="shared" si="11"/>
        <v>0</v>
      </c>
    </row>
    <row r="104">
      <c r="A104" s="1" t="s">
        <v>963</v>
      </c>
      <c r="B104" s="2" t="s">
        <v>28</v>
      </c>
      <c r="C104" s="2" t="s">
        <v>964</v>
      </c>
      <c r="D104" s="2" t="s">
        <v>965</v>
      </c>
      <c r="E104" s="1" t="s">
        <v>112</v>
      </c>
      <c r="F104" s="1" t="s">
        <v>112</v>
      </c>
      <c r="G104" s="1" t="s">
        <v>112</v>
      </c>
      <c r="H104" s="1" t="s">
        <v>112</v>
      </c>
      <c r="I104" s="1" t="s">
        <v>112</v>
      </c>
      <c r="J104" s="1" t="s">
        <v>112</v>
      </c>
      <c r="K104" s="1" t="s">
        <v>112</v>
      </c>
      <c r="L104" s="1" t="s">
        <v>112</v>
      </c>
      <c r="M104" s="2" t="s">
        <v>54</v>
      </c>
      <c r="N104" s="2" t="s">
        <v>55</v>
      </c>
      <c r="O104" s="2" t="s">
        <v>55</v>
      </c>
      <c r="P104" s="2" t="s">
        <v>55</v>
      </c>
      <c r="Q104" s="3">
        <f t="shared" si="1"/>
        <v>5</v>
      </c>
      <c r="R104" s="3" t="str">
        <f t="shared" si="2"/>
        <v/>
      </c>
      <c r="S104" s="3" t="str">
        <f t="shared" si="3"/>
        <v/>
      </c>
      <c r="T104" s="3">
        <f t="shared" si="4"/>
        <v>0</v>
      </c>
      <c r="U104" s="3">
        <f t="shared" si="12"/>
        <v>0</v>
      </c>
      <c r="V104" s="3">
        <f t="shared" si="6"/>
        <v>0</v>
      </c>
      <c r="W104" s="3">
        <f t="shared" si="7"/>
        <v>100</v>
      </c>
      <c r="X104" s="3" t="str">
        <f t="shared" si="8"/>
        <v/>
      </c>
      <c r="Y104" s="3" t="str">
        <f t="shared" si="9"/>
        <v/>
      </c>
      <c r="Z104" s="3" t="str">
        <f t="shared" si="10"/>
        <v>full access</v>
      </c>
      <c r="AA104" s="3">
        <f t="shared" si="11"/>
        <v>0</v>
      </c>
    </row>
    <row r="105">
      <c r="A105" s="1" t="s">
        <v>963</v>
      </c>
      <c r="B105" s="2" t="s">
        <v>43</v>
      </c>
      <c r="C105" s="2" t="s">
        <v>966</v>
      </c>
      <c r="D105" s="2" t="s">
        <v>967</v>
      </c>
      <c r="E105" s="1" t="s">
        <v>112</v>
      </c>
      <c r="F105" s="1" t="s">
        <v>112</v>
      </c>
      <c r="G105" s="1" t="s">
        <v>112</v>
      </c>
      <c r="H105" s="1" t="s">
        <v>112</v>
      </c>
      <c r="I105" s="1" t="s">
        <v>112</v>
      </c>
      <c r="J105" s="1" t="s">
        <v>112</v>
      </c>
      <c r="K105" s="1" t="s">
        <v>112</v>
      </c>
      <c r="L105" s="1" t="s">
        <v>112</v>
      </c>
      <c r="M105" s="2" t="s">
        <v>54</v>
      </c>
      <c r="N105" s="2" t="s">
        <v>55</v>
      </c>
      <c r="O105" s="2" t="s">
        <v>55</v>
      </c>
      <c r="P105" s="2" t="s">
        <v>55</v>
      </c>
      <c r="Q105" s="3" t="str">
        <f t="shared" si="1"/>
        <v/>
      </c>
      <c r="R105" s="3" t="str">
        <f t="shared" si="2"/>
        <v/>
      </c>
      <c r="S105" s="3" t="str">
        <f t="shared" si="3"/>
        <v/>
      </c>
      <c r="T105" s="3" t="str">
        <f t="shared" si="4"/>
        <v/>
      </c>
      <c r="U105" s="3">
        <f t="shared" si="12"/>
        <v>0</v>
      </c>
      <c r="V105" s="3">
        <f t="shared" si="6"/>
        <v>0</v>
      </c>
      <c r="W105" s="3">
        <f t="shared" si="7"/>
        <v>100</v>
      </c>
      <c r="X105" s="3" t="str">
        <f t="shared" si="8"/>
        <v/>
      </c>
      <c r="Y105" s="3" t="str">
        <f t="shared" si="9"/>
        <v/>
      </c>
      <c r="Z105" s="3" t="str">
        <f t="shared" si="10"/>
        <v/>
      </c>
      <c r="AA105" s="3">
        <f t="shared" si="11"/>
        <v>0</v>
      </c>
    </row>
    <row r="106">
      <c r="A106" s="1" t="s">
        <v>968</v>
      </c>
      <c r="B106" s="2" t="s">
        <v>28</v>
      </c>
      <c r="C106" s="2" t="s">
        <v>969</v>
      </c>
      <c r="D106" s="2" t="s">
        <v>970</v>
      </c>
      <c r="E106" s="2" t="s">
        <v>971</v>
      </c>
      <c r="F106" s="2" t="s">
        <v>972</v>
      </c>
      <c r="G106" s="2" t="s">
        <v>973</v>
      </c>
      <c r="H106" s="2" t="s">
        <v>974</v>
      </c>
      <c r="I106" s="2" t="s">
        <v>975</v>
      </c>
      <c r="J106" s="2" t="s">
        <v>976</v>
      </c>
      <c r="K106" s="2" t="s">
        <v>977</v>
      </c>
      <c r="L106" s="2" t="s">
        <v>978</v>
      </c>
      <c r="M106" s="2" t="s">
        <v>979</v>
      </c>
      <c r="N106" s="2" t="s">
        <v>980</v>
      </c>
      <c r="O106" s="2" t="s">
        <v>981</v>
      </c>
      <c r="P106" s="2" t="s">
        <v>982</v>
      </c>
      <c r="Q106" s="3">
        <f t="shared" si="1"/>
        <v>5</v>
      </c>
      <c r="R106" s="3">
        <f t="shared" si="2"/>
        <v>0.226179938</v>
      </c>
      <c r="S106" s="3">
        <f t="shared" si="3"/>
        <v>0.788318096</v>
      </c>
      <c r="T106" s="3">
        <f t="shared" si="4"/>
        <v>0.054655054</v>
      </c>
      <c r="U106" s="3">
        <f t="shared" si="12"/>
        <v>96</v>
      </c>
      <c r="V106" s="3">
        <f t="shared" si="6"/>
        <v>90</v>
      </c>
      <c r="W106" s="3">
        <f t="shared" si="7"/>
        <v>98</v>
      </c>
      <c r="X106" s="3" t="str">
        <f t="shared" si="8"/>
        <v/>
      </c>
      <c r="Y106" s="3" t="str">
        <f t="shared" si="9"/>
        <v/>
      </c>
      <c r="Z106" s="3" t="str">
        <f t="shared" si="10"/>
        <v/>
      </c>
      <c r="AA106" s="3">
        <f t="shared" si="11"/>
        <v>0.733663042</v>
      </c>
    </row>
    <row r="107">
      <c r="A107" s="1" t="s">
        <v>968</v>
      </c>
      <c r="B107" s="2" t="s">
        <v>43</v>
      </c>
      <c r="C107" s="2" t="s">
        <v>983</v>
      </c>
      <c r="D107" s="2" t="s">
        <v>984</v>
      </c>
      <c r="E107" s="2" t="s">
        <v>985</v>
      </c>
      <c r="F107" s="2" t="s">
        <v>986</v>
      </c>
      <c r="G107" s="2" t="s">
        <v>987</v>
      </c>
      <c r="H107" s="2" t="s">
        <v>988</v>
      </c>
      <c r="I107" s="2" t="s">
        <v>989</v>
      </c>
      <c r="J107" s="2" t="s">
        <v>990</v>
      </c>
      <c r="K107" s="2" t="s">
        <v>991</v>
      </c>
      <c r="L107" s="2" t="s">
        <v>992</v>
      </c>
      <c r="M107" s="2" t="s">
        <v>993</v>
      </c>
      <c r="N107" s="2" t="s">
        <v>994</v>
      </c>
      <c r="O107" s="2" t="s">
        <v>995</v>
      </c>
      <c r="P107" s="2" t="s">
        <v>996</v>
      </c>
      <c r="Q107" s="3" t="str">
        <f t="shared" si="1"/>
        <v/>
      </c>
      <c r="R107" s="3" t="str">
        <f t="shared" si="2"/>
        <v/>
      </c>
      <c r="S107" s="3" t="str">
        <f t="shared" si="3"/>
        <v/>
      </c>
      <c r="T107" s="3" t="str">
        <f t="shared" si="4"/>
        <v/>
      </c>
      <c r="U107" s="3">
        <f t="shared" si="12"/>
        <v>97</v>
      </c>
      <c r="V107" s="3">
        <f t="shared" si="6"/>
        <v>94</v>
      </c>
      <c r="W107" s="3">
        <f t="shared" si="7"/>
        <v>98</v>
      </c>
      <c r="X107" s="3" t="str">
        <f t="shared" si="8"/>
        <v/>
      </c>
      <c r="Y107" s="3" t="str">
        <f t="shared" si="9"/>
        <v/>
      </c>
      <c r="Z107" s="3" t="str">
        <f t="shared" si="10"/>
        <v/>
      </c>
      <c r="AA107" s="3">
        <f t="shared" si="11"/>
        <v>0</v>
      </c>
    </row>
    <row r="108">
      <c r="A108" s="1" t="s">
        <v>997</v>
      </c>
      <c r="B108" s="2" t="s">
        <v>28</v>
      </c>
      <c r="C108" s="2" t="s">
        <v>998</v>
      </c>
      <c r="D108" s="2" t="s">
        <v>999</v>
      </c>
      <c r="E108" s="2" t="s">
        <v>1000</v>
      </c>
      <c r="F108" s="2" t="s">
        <v>55</v>
      </c>
      <c r="G108" s="2" t="s">
        <v>1001</v>
      </c>
      <c r="H108" s="2" t="s">
        <v>55</v>
      </c>
      <c r="I108" s="1" t="s">
        <v>112</v>
      </c>
      <c r="J108" s="1" t="s">
        <v>112</v>
      </c>
      <c r="K108" s="1" t="s">
        <v>112</v>
      </c>
      <c r="L108" s="1" t="s">
        <v>112</v>
      </c>
      <c r="M108" s="1" t="s">
        <v>112</v>
      </c>
      <c r="N108" s="1" t="s">
        <v>112</v>
      </c>
      <c r="O108" s="1" t="s">
        <v>112</v>
      </c>
      <c r="P108" s="1" t="s">
        <v>112</v>
      </c>
      <c r="Q108" s="3">
        <f t="shared" si="1"/>
        <v>2</v>
      </c>
      <c r="R108" s="3">
        <f t="shared" si="2"/>
        <v>0</v>
      </c>
      <c r="S108" s="3" t="str">
        <f t="shared" si="3"/>
        <v/>
      </c>
      <c r="T108" s="3" t="str">
        <f t="shared" si="4"/>
        <v/>
      </c>
      <c r="U108" s="3">
        <f t="shared" si="12"/>
        <v>99</v>
      </c>
      <c r="V108" s="3">
        <f t="shared" si="6"/>
        <v>0</v>
      </c>
      <c r="W108" s="3">
        <f t="shared" si="7"/>
        <v>0</v>
      </c>
      <c r="X108" s="3" t="str">
        <f t="shared" si="8"/>
        <v/>
      </c>
      <c r="Y108" s="3" t="str">
        <f t="shared" si="9"/>
        <v/>
      </c>
      <c r="Z108" s="3" t="str">
        <f t="shared" si="10"/>
        <v/>
      </c>
      <c r="AA108" s="3">
        <f t="shared" si="11"/>
        <v>0</v>
      </c>
    </row>
    <row r="109">
      <c r="A109" s="1" t="s">
        <v>997</v>
      </c>
      <c r="B109" s="2" t="s">
        <v>158</v>
      </c>
      <c r="C109" s="2" t="s">
        <v>1002</v>
      </c>
      <c r="D109" s="2" t="s">
        <v>1003</v>
      </c>
      <c r="E109" s="2" t="s">
        <v>1000</v>
      </c>
      <c r="F109" s="2" t="s">
        <v>55</v>
      </c>
      <c r="G109" s="2" t="s">
        <v>1001</v>
      </c>
      <c r="H109" s="2" t="s">
        <v>55</v>
      </c>
      <c r="I109" s="1" t="s">
        <v>112</v>
      </c>
      <c r="J109" s="1" t="s">
        <v>112</v>
      </c>
      <c r="K109" s="1" t="s">
        <v>112</v>
      </c>
      <c r="L109" s="1" t="s">
        <v>112</v>
      </c>
      <c r="M109" s="1" t="s">
        <v>112</v>
      </c>
      <c r="N109" s="1" t="s">
        <v>112</v>
      </c>
      <c r="O109" s="1" t="s">
        <v>112</v>
      </c>
      <c r="P109" s="1" t="s">
        <v>112</v>
      </c>
      <c r="Q109" s="3" t="str">
        <f t="shared" si="1"/>
        <v/>
      </c>
      <c r="R109" s="3" t="str">
        <f t="shared" si="2"/>
        <v/>
      </c>
      <c r="S109" s="3" t="str">
        <f t="shared" si="3"/>
        <v/>
      </c>
      <c r="T109" s="3" t="str">
        <f t="shared" si="4"/>
        <v/>
      </c>
      <c r="U109" s="3">
        <f t="shared" si="12"/>
        <v>99</v>
      </c>
      <c r="V109" s="3">
        <f t="shared" si="6"/>
        <v>0</v>
      </c>
      <c r="W109" s="3">
        <f t="shared" si="7"/>
        <v>0</v>
      </c>
      <c r="X109" s="3" t="str">
        <f t="shared" si="8"/>
        <v/>
      </c>
      <c r="Y109" s="3" t="str">
        <f t="shared" si="9"/>
        <v/>
      </c>
      <c r="Z109" s="3" t="str">
        <f t="shared" si="10"/>
        <v/>
      </c>
      <c r="AA109" s="3">
        <f t="shared" si="11"/>
        <v>0</v>
      </c>
    </row>
    <row r="110">
      <c r="A110" s="1" t="s">
        <v>1004</v>
      </c>
      <c r="B110" s="2" t="s">
        <v>28</v>
      </c>
      <c r="C110" s="2" t="s">
        <v>1005</v>
      </c>
      <c r="D110" s="2" t="s">
        <v>1006</v>
      </c>
      <c r="E110" s="2" t="s">
        <v>1007</v>
      </c>
      <c r="F110" s="2" t="s">
        <v>55</v>
      </c>
      <c r="G110" s="2" t="s">
        <v>1008</v>
      </c>
      <c r="H110" s="2" t="s">
        <v>55</v>
      </c>
      <c r="I110" s="2" t="s">
        <v>1009</v>
      </c>
      <c r="J110" s="2" t="s">
        <v>55</v>
      </c>
      <c r="K110" s="2" t="s">
        <v>1010</v>
      </c>
      <c r="L110" s="2" t="s">
        <v>55</v>
      </c>
      <c r="M110" s="2" t="s">
        <v>1011</v>
      </c>
      <c r="N110" s="2" t="s">
        <v>55</v>
      </c>
      <c r="O110" s="2" t="s">
        <v>1012</v>
      </c>
      <c r="P110" s="2" t="s">
        <v>55</v>
      </c>
      <c r="Q110" s="3">
        <f t="shared" si="1"/>
        <v>5</v>
      </c>
      <c r="R110" s="3">
        <f t="shared" si="2"/>
        <v>-0.004668878</v>
      </c>
      <c r="S110" s="3">
        <f t="shared" si="3"/>
        <v>-0.003084764</v>
      </c>
      <c r="T110" s="3">
        <f t="shared" si="4"/>
        <v>-0.005496838</v>
      </c>
      <c r="U110" s="3">
        <f t="shared" si="12"/>
        <v>100</v>
      </c>
      <c r="V110" s="3">
        <f t="shared" si="6"/>
        <v>100</v>
      </c>
      <c r="W110" s="3">
        <f t="shared" si="7"/>
        <v>100</v>
      </c>
      <c r="X110" s="3" t="str">
        <f t="shared" si="8"/>
        <v>full access</v>
      </c>
      <c r="Y110" s="3" t="str">
        <f t="shared" si="9"/>
        <v>full access</v>
      </c>
      <c r="Z110" s="3" t="str">
        <f t="shared" si="10"/>
        <v>full access</v>
      </c>
      <c r="AA110" s="3">
        <f t="shared" si="11"/>
        <v>0.002412074</v>
      </c>
    </row>
    <row r="111">
      <c r="A111" s="1" t="s">
        <v>1004</v>
      </c>
      <c r="B111" s="2" t="s">
        <v>43</v>
      </c>
      <c r="C111" s="2" t="s">
        <v>1013</v>
      </c>
      <c r="D111" s="2" t="s">
        <v>1014</v>
      </c>
      <c r="E111" s="2" t="s">
        <v>1015</v>
      </c>
      <c r="F111" s="2" t="s">
        <v>55</v>
      </c>
      <c r="G111" s="2" t="s">
        <v>1016</v>
      </c>
      <c r="H111" s="2" t="s">
        <v>55</v>
      </c>
      <c r="I111" s="2" t="s">
        <v>1017</v>
      </c>
      <c r="J111" s="2" t="s">
        <v>55</v>
      </c>
      <c r="K111" s="2" t="s">
        <v>1018</v>
      </c>
      <c r="L111" s="2" t="s">
        <v>55</v>
      </c>
      <c r="M111" s="2" t="s">
        <v>1019</v>
      </c>
      <c r="N111" s="2" t="s">
        <v>55</v>
      </c>
      <c r="O111" s="2" t="s">
        <v>1020</v>
      </c>
      <c r="P111" s="2" t="s">
        <v>55</v>
      </c>
      <c r="Q111" s="3" t="str">
        <f t="shared" si="1"/>
        <v/>
      </c>
      <c r="R111" s="3" t="str">
        <f t="shared" si="2"/>
        <v/>
      </c>
      <c r="S111" s="3" t="str">
        <f t="shared" si="3"/>
        <v/>
      </c>
      <c r="T111" s="3" t="str">
        <f t="shared" si="4"/>
        <v/>
      </c>
      <c r="U111" s="3">
        <f t="shared" si="12"/>
        <v>100</v>
      </c>
      <c r="V111" s="3">
        <f t="shared" si="6"/>
        <v>100</v>
      </c>
      <c r="W111" s="3">
        <f t="shared" si="7"/>
        <v>100</v>
      </c>
      <c r="X111" s="3" t="str">
        <f t="shared" si="8"/>
        <v/>
      </c>
      <c r="Y111" s="3" t="str">
        <f t="shared" si="9"/>
        <v/>
      </c>
      <c r="Z111" s="3" t="str">
        <f t="shared" si="10"/>
        <v/>
      </c>
      <c r="AA111" s="3">
        <f t="shared" si="11"/>
        <v>0</v>
      </c>
    </row>
    <row r="112">
      <c r="A112" s="1" t="s">
        <v>1021</v>
      </c>
      <c r="B112" s="2" t="s">
        <v>28</v>
      </c>
      <c r="C112" s="2" t="s">
        <v>1022</v>
      </c>
      <c r="D112" s="2" t="s">
        <v>1023</v>
      </c>
      <c r="E112" s="2" t="s">
        <v>1024</v>
      </c>
      <c r="F112" s="2" t="s">
        <v>55</v>
      </c>
      <c r="G112" s="2" t="s">
        <v>1025</v>
      </c>
      <c r="H112" s="2" t="s">
        <v>55</v>
      </c>
      <c r="I112" s="2" t="s">
        <v>1026</v>
      </c>
      <c r="J112" s="2" t="s">
        <v>55</v>
      </c>
      <c r="K112" s="2" t="s">
        <v>1027</v>
      </c>
      <c r="L112" s="2" t="s">
        <v>55</v>
      </c>
      <c r="M112" s="2" t="s">
        <v>1028</v>
      </c>
      <c r="N112" s="2" t="s">
        <v>55</v>
      </c>
      <c r="O112" s="2" t="s">
        <v>1029</v>
      </c>
      <c r="P112" s="2" t="s">
        <v>55</v>
      </c>
      <c r="Q112" s="3">
        <f t="shared" si="1"/>
        <v>5</v>
      </c>
      <c r="R112" s="3">
        <f t="shared" si="2"/>
        <v>0.000099796</v>
      </c>
      <c r="S112" s="3">
        <f t="shared" si="3"/>
        <v>0</v>
      </c>
      <c r="T112" s="3">
        <f t="shared" si="4"/>
        <v>0</v>
      </c>
      <c r="U112" s="3">
        <f t="shared" si="12"/>
        <v>100</v>
      </c>
      <c r="V112" s="3">
        <f t="shared" si="6"/>
        <v>100</v>
      </c>
      <c r="W112" s="3">
        <f t="shared" si="7"/>
        <v>100</v>
      </c>
      <c r="X112" s="3" t="str">
        <f t="shared" si="8"/>
        <v>full access</v>
      </c>
      <c r="Y112" s="3" t="str">
        <f t="shared" si="9"/>
        <v>full access</v>
      </c>
      <c r="Z112" s="3" t="str">
        <f t="shared" si="10"/>
        <v>full access</v>
      </c>
      <c r="AA112" s="3">
        <f t="shared" si="11"/>
        <v>0</v>
      </c>
    </row>
    <row r="113">
      <c r="A113" s="1" t="s">
        <v>1021</v>
      </c>
      <c r="B113" s="2" t="s">
        <v>43</v>
      </c>
      <c r="C113" s="2" t="s">
        <v>1030</v>
      </c>
      <c r="D113" s="2" t="s">
        <v>1031</v>
      </c>
      <c r="E113" s="2" t="s">
        <v>1032</v>
      </c>
      <c r="F113" s="2" t="s">
        <v>55</v>
      </c>
      <c r="G113" s="2" t="s">
        <v>1033</v>
      </c>
      <c r="H113" s="2" t="s">
        <v>55</v>
      </c>
      <c r="I113" s="2" t="s">
        <v>1026</v>
      </c>
      <c r="J113" s="2" t="s">
        <v>55</v>
      </c>
      <c r="K113" s="2" t="s">
        <v>1027</v>
      </c>
      <c r="L113" s="2" t="s">
        <v>55</v>
      </c>
      <c r="M113" s="2" t="s">
        <v>1028</v>
      </c>
      <c r="N113" s="2" t="s">
        <v>55</v>
      </c>
      <c r="O113" s="2" t="s">
        <v>1029</v>
      </c>
      <c r="P113" s="2" t="s">
        <v>55</v>
      </c>
      <c r="Q113" s="3" t="str">
        <f t="shared" si="1"/>
        <v/>
      </c>
      <c r="R113" s="3" t="str">
        <f t="shared" si="2"/>
        <v/>
      </c>
      <c r="S113" s="3" t="str">
        <f t="shared" si="3"/>
        <v/>
      </c>
      <c r="T113" s="3" t="str">
        <f t="shared" si="4"/>
        <v/>
      </c>
      <c r="U113" s="3">
        <f t="shared" si="12"/>
        <v>100</v>
      </c>
      <c r="V113" s="3">
        <f t="shared" si="6"/>
        <v>100</v>
      </c>
      <c r="W113" s="3">
        <f t="shared" si="7"/>
        <v>100</v>
      </c>
      <c r="X113" s="3" t="str">
        <f t="shared" si="8"/>
        <v/>
      </c>
      <c r="Y113" s="3" t="str">
        <f t="shared" si="9"/>
        <v/>
      </c>
      <c r="Z113" s="3" t="str">
        <f t="shared" si="10"/>
        <v/>
      </c>
      <c r="AA113" s="3">
        <f t="shared" si="11"/>
        <v>0</v>
      </c>
    </row>
    <row r="114">
      <c r="A114" s="1" t="s">
        <v>1034</v>
      </c>
      <c r="B114" s="2" t="s">
        <v>28</v>
      </c>
      <c r="C114" s="2" t="s">
        <v>1035</v>
      </c>
      <c r="D114" s="2" t="s">
        <v>1036</v>
      </c>
      <c r="E114" s="2" t="s">
        <v>1037</v>
      </c>
      <c r="F114" s="2" t="s">
        <v>1038</v>
      </c>
      <c r="G114" s="2" t="s">
        <v>1039</v>
      </c>
      <c r="H114" s="2" t="s">
        <v>1040</v>
      </c>
      <c r="I114" s="2" t="s">
        <v>1041</v>
      </c>
      <c r="J114" s="2" t="s">
        <v>1042</v>
      </c>
      <c r="K114" s="2" t="s">
        <v>1043</v>
      </c>
      <c r="L114" s="2" t="s">
        <v>1044</v>
      </c>
      <c r="M114" s="2" t="s">
        <v>1045</v>
      </c>
      <c r="N114" s="2" t="s">
        <v>1046</v>
      </c>
      <c r="O114" s="2" t="s">
        <v>1047</v>
      </c>
      <c r="P114" s="2" t="s">
        <v>55</v>
      </c>
      <c r="Q114" s="3">
        <f t="shared" si="1"/>
        <v>5</v>
      </c>
      <c r="R114" s="3">
        <f t="shared" si="2"/>
        <v>-0.274207736</v>
      </c>
      <c r="S114" s="3">
        <f t="shared" si="3"/>
        <v>-0.572668708</v>
      </c>
      <c r="T114" s="3">
        <f t="shared" si="4"/>
        <v>-0.115002716</v>
      </c>
      <c r="U114" s="3">
        <f t="shared" si="12"/>
        <v>95</v>
      </c>
      <c r="V114" s="3">
        <f t="shared" si="6"/>
        <v>92</v>
      </c>
      <c r="W114" s="3">
        <f t="shared" si="7"/>
        <v>97</v>
      </c>
      <c r="X114" s="3" t="str">
        <f t="shared" si="8"/>
        <v/>
      </c>
      <c r="Y114" s="3" t="str">
        <f t="shared" si="9"/>
        <v/>
      </c>
      <c r="Z114" s="3" t="str">
        <f t="shared" si="10"/>
        <v/>
      </c>
      <c r="AA114" s="3">
        <f t="shared" si="11"/>
        <v>-0.457665992</v>
      </c>
    </row>
    <row r="115">
      <c r="A115" s="1" t="s">
        <v>1034</v>
      </c>
      <c r="B115" s="2" t="s">
        <v>43</v>
      </c>
      <c r="C115" s="2" t="s">
        <v>1048</v>
      </c>
      <c r="D115" s="2" t="s">
        <v>1049</v>
      </c>
      <c r="E115" s="2" t="s">
        <v>1050</v>
      </c>
      <c r="F115" s="2" t="s">
        <v>1051</v>
      </c>
      <c r="G115" s="2" t="s">
        <v>1052</v>
      </c>
      <c r="H115" s="2" t="s">
        <v>1053</v>
      </c>
      <c r="I115" s="2" t="s">
        <v>1054</v>
      </c>
      <c r="J115" s="2" t="s">
        <v>1055</v>
      </c>
      <c r="K115" s="2" t="s">
        <v>1056</v>
      </c>
      <c r="L115" s="2" t="s">
        <v>1044</v>
      </c>
      <c r="M115" s="2" t="s">
        <v>1057</v>
      </c>
      <c r="N115" s="2" t="s">
        <v>1058</v>
      </c>
      <c r="O115" s="2" t="s">
        <v>1059</v>
      </c>
      <c r="P115" s="2" t="s">
        <v>55</v>
      </c>
      <c r="Q115" s="3" t="str">
        <f t="shared" si="1"/>
        <v/>
      </c>
      <c r="R115" s="3" t="str">
        <f t="shared" si="2"/>
        <v/>
      </c>
      <c r="S115" s="3" t="str">
        <f t="shared" si="3"/>
        <v/>
      </c>
      <c r="T115" s="3" t="str">
        <f t="shared" si="4"/>
        <v/>
      </c>
      <c r="U115" s="3">
        <f t="shared" si="12"/>
        <v>94</v>
      </c>
      <c r="V115" s="3">
        <f t="shared" si="6"/>
        <v>89</v>
      </c>
      <c r="W115" s="3">
        <f t="shared" si="7"/>
        <v>97</v>
      </c>
      <c r="X115" s="3" t="str">
        <f t="shared" si="8"/>
        <v/>
      </c>
      <c r="Y115" s="3" t="str">
        <f t="shared" si="9"/>
        <v/>
      </c>
      <c r="Z115" s="3" t="str">
        <f t="shared" si="10"/>
        <v/>
      </c>
      <c r="AA115" s="3">
        <f t="shared" si="11"/>
        <v>0</v>
      </c>
    </row>
    <row r="116">
      <c r="A116" s="1" t="s">
        <v>1060</v>
      </c>
      <c r="B116" s="2" t="s">
        <v>28</v>
      </c>
      <c r="C116" s="2" t="s">
        <v>1061</v>
      </c>
      <c r="D116" s="2" t="s">
        <v>1062</v>
      </c>
      <c r="E116" s="2" t="s">
        <v>1063</v>
      </c>
      <c r="F116" s="2" t="s">
        <v>1064</v>
      </c>
      <c r="G116" s="2" t="s">
        <v>1065</v>
      </c>
      <c r="H116" s="2" t="s">
        <v>1066</v>
      </c>
      <c r="I116" s="2" t="s">
        <v>1067</v>
      </c>
      <c r="J116" s="2" t="s">
        <v>1068</v>
      </c>
      <c r="K116" s="2" t="s">
        <v>1069</v>
      </c>
      <c r="L116" s="2" t="s">
        <v>1070</v>
      </c>
      <c r="M116" s="2" t="s">
        <v>1071</v>
      </c>
      <c r="N116" s="2" t="s">
        <v>1072</v>
      </c>
      <c r="O116" s="2" t="s">
        <v>1073</v>
      </c>
      <c r="P116" s="2" t="s">
        <v>1074</v>
      </c>
      <c r="Q116" s="3">
        <f t="shared" si="1"/>
        <v>5</v>
      </c>
      <c r="R116" s="3">
        <f t="shared" si="2"/>
        <v>0.646789398</v>
      </c>
      <c r="S116" s="3">
        <f t="shared" si="3"/>
        <v>0.272055708</v>
      </c>
      <c r="T116" s="3">
        <f t="shared" si="4"/>
        <v>0.436595398</v>
      </c>
      <c r="U116" s="3">
        <f t="shared" si="12"/>
        <v>43</v>
      </c>
      <c r="V116" s="3">
        <f t="shared" si="6"/>
        <v>21</v>
      </c>
      <c r="W116" s="3">
        <f t="shared" si="7"/>
        <v>72</v>
      </c>
      <c r="X116" s="3" t="str">
        <f t="shared" si="8"/>
        <v/>
      </c>
      <c r="Y116" s="3" t="str">
        <f t="shared" si="9"/>
        <v/>
      </c>
      <c r="Z116" s="3" t="str">
        <f t="shared" si="10"/>
        <v/>
      </c>
      <c r="AA116" s="3">
        <f t="shared" si="11"/>
        <v>-0.16453969</v>
      </c>
    </row>
    <row r="117">
      <c r="A117" s="1" t="s">
        <v>1060</v>
      </c>
      <c r="B117" s="2" t="s">
        <v>43</v>
      </c>
      <c r="C117" s="2" t="s">
        <v>1075</v>
      </c>
      <c r="D117" s="2" t="s">
        <v>1076</v>
      </c>
      <c r="E117" s="2" t="s">
        <v>1077</v>
      </c>
      <c r="F117" s="2" t="s">
        <v>1078</v>
      </c>
      <c r="G117" s="2" t="s">
        <v>1079</v>
      </c>
      <c r="H117" s="2" t="s">
        <v>1080</v>
      </c>
      <c r="I117" s="2" t="s">
        <v>1081</v>
      </c>
      <c r="J117" s="2" t="s">
        <v>1082</v>
      </c>
      <c r="K117" s="2" t="s">
        <v>1083</v>
      </c>
      <c r="L117" s="2" t="s">
        <v>1084</v>
      </c>
      <c r="M117" s="2" t="s">
        <v>1085</v>
      </c>
      <c r="N117" s="2" t="s">
        <v>1086</v>
      </c>
      <c r="O117" s="2" t="s">
        <v>1087</v>
      </c>
      <c r="P117" s="2" t="s">
        <v>1088</v>
      </c>
      <c r="Q117" s="3" t="str">
        <f t="shared" si="1"/>
        <v/>
      </c>
      <c r="R117" s="3" t="str">
        <f t="shared" si="2"/>
        <v/>
      </c>
      <c r="S117" s="3" t="str">
        <f t="shared" si="3"/>
        <v/>
      </c>
      <c r="T117" s="3" t="str">
        <f t="shared" si="4"/>
        <v/>
      </c>
      <c r="U117" s="3">
        <f t="shared" si="12"/>
        <v>46</v>
      </c>
      <c r="V117" s="3">
        <f t="shared" si="6"/>
        <v>22</v>
      </c>
      <c r="W117" s="3">
        <f t="shared" si="7"/>
        <v>75</v>
      </c>
      <c r="X117" s="3" t="str">
        <f t="shared" si="8"/>
        <v/>
      </c>
      <c r="Y117" s="3" t="str">
        <f t="shared" si="9"/>
        <v/>
      </c>
      <c r="Z117" s="3" t="str">
        <f t="shared" si="10"/>
        <v/>
      </c>
      <c r="AA117" s="3">
        <f t="shared" si="11"/>
        <v>0</v>
      </c>
    </row>
    <row r="118">
      <c r="A118" s="1" t="s">
        <v>1089</v>
      </c>
      <c r="B118" s="2" t="s">
        <v>28</v>
      </c>
      <c r="C118" s="2" t="s">
        <v>1090</v>
      </c>
      <c r="D118" s="2" t="s">
        <v>1091</v>
      </c>
      <c r="E118" s="2" t="s">
        <v>1092</v>
      </c>
      <c r="F118" s="2" t="s">
        <v>55</v>
      </c>
      <c r="G118" s="2" t="s">
        <v>1093</v>
      </c>
      <c r="H118" s="2" t="s">
        <v>55</v>
      </c>
      <c r="I118" s="2" t="s">
        <v>54</v>
      </c>
      <c r="J118" s="2" t="s">
        <v>55</v>
      </c>
      <c r="K118" s="2" t="s">
        <v>55</v>
      </c>
      <c r="L118" s="2" t="s">
        <v>55</v>
      </c>
      <c r="M118" s="2" t="s">
        <v>54</v>
      </c>
      <c r="N118" s="2" t="s">
        <v>55</v>
      </c>
      <c r="O118" s="2" t="s">
        <v>55</v>
      </c>
      <c r="P118" s="2" t="s">
        <v>55</v>
      </c>
      <c r="Q118" s="3">
        <f t="shared" si="1"/>
        <v>5</v>
      </c>
      <c r="R118" s="3">
        <f t="shared" si="2"/>
        <v>0.0000006500000012</v>
      </c>
      <c r="S118" s="3">
        <f t="shared" si="3"/>
        <v>0</v>
      </c>
      <c r="T118" s="3">
        <f t="shared" si="4"/>
        <v>0</v>
      </c>
      <c r="U118" s="3">
        <f t="shared" si="12"/>
        <v>100</v>
      </c>
      <c r="V118" s="3">
        <f t="shared" si="6"/>
        <v>100</v>
      </c>
      <c r="W118" s="3">
        <f t="shared" si="7"/>
        <v>100</v>
      </c>
      <c r="X118" s="3" t="str">
        <f t="shared" si="8"/>
        <v>full access</v>
      </c>
      <c r="Y118" s="3" t="str">
        <f t="shared" si="9"/>
        <v>full access</v>
      </c>
      <c r="Z118" s="3" t="str">
        <f t="shared" si="10"/>
        <v>full access</v>
      </c>
      <c r="AA118" s="3">
        <f t="shared" si="11"/>
        <v>0</v>
      </c>
    </row>
    <row r="119">
      <c r="A119" s="1" t="s">
        <v>1089</v>
      </c>
      <c r="B119" s="2" t="s">
        <v>43</v>
      </c>
      <c r="C119" s="2" t="s">
        <v>1094</v>
      </c>
      <c r="D119" s="2" t="s">
        <v>1095</v>
      </c>
      <c r="E119" s="2" t="s">
        <v>1096</v>
      </c>
      <c r="F119" s="2" t="s">
        <v>55</v>
      </c>
      <c r="G119" s="2" t="s">
        <v>55</v>
      </c>
      <c r="H119" s="2" t="s">
        <v>55</v>
      </c>
      <c r="I119" s="2" t="s">
        <v>54</v>
      </c>
      <c r="J119" s="2" t="s">
        <v>55</v>
      </c>
      <c r="K119" s="2" t="s">
        <v>55</v>
      </c>
      <c r="L119" s="2" t="s">
        <v>55</v>
      </c>
      <c r="M119" s="2" t="s">
        <v>54</v>
      </c>
      <c r="N119" s="2" t="s">
        <v>55</v>
      </c>
      <c r="O119" s="2" t="s">
        <v>55</v>
      </c>
      <c r="P119" s="2" t="s">
        <v>55</v>
      </c>
      <c r="Q119" s="3" t="str">
        <f t="shared" si="1"/>
        <v/>
      </c>
      <c r="R119" s="3" t="str">
        <f t="shared" si="2"/>
        <v/>
      </c>
      <c r="S119" s="3" t="str">
        <f t="shared" si="3"/>
        <v/>
      </c>
      <c r="T119" s="3" t="str">
        <f t="shared" si="4"/>
        <v/>
      </c>
      <c r="U119" s="3">
        <f t="shared" si="12"/>
        <v>100</v>
      </c>
      <c r="V119" s="3">
        <f t="shared" si="6"/>
        <v>100</v>
      </c>
      <c r="W119" s="3">
        <f t="shared" si="7"/>
        <v>100</v>
      </c>
      <c r="X119" s="3" t="str">
        <f t="shared" si="8"/>
        <v/>
      </c>
      <c r="Y119" s="3" t="str">
        <f t="shared" si="9"/>
        <v/>
      </c>
      <c r="Z119" s="3" t="str">
        <f t="shared" si="10"/>
        <v/>
      </c>
      <c r="AA119" s="3">
        <f t="shared" si="11"/>
        <v>0</v>
      </c>
    </row>
    <row r="120">
      <c r="A120" s="1" t="s">
        <v>1097</v>
      </c>
      <c r="B120" s="2" t="s">
        <v>28</v>
      </c>
      <c r="C120" s="2" t="s">
        <v>1098</v>
      </c>
      <c r="D120" s="2" t="s">
        <v>1099</v>
      </c>
      <c r="E120" s="2" t="s">
        <v>1100</v>
      </c>
      <c r="F120" s="2" t="s">
        <v>1101</v>
      </c>
      <c r="G120" s="2" t="s">
        <v>1102</v>
      </c>
      <c r="H120" s="2" t="s">
        <v>1103</v>
      </c>
      <c r="I120" s="2" t="s">
        <v>1104</v>
      </c>
      <c r="J120" s="2" t="s">
        <v>1105</v>
      </c>
      <c r="K120" s="2" t="s">
        <v>1106</v>
      </c>
      <c r="L120" s="2" t="s">
        <v>1107</v>
      </c>
      <c r="M120" s="2" t="s">
        <v>1108</v>
      </c>
      <c r="N120" s="2" t="s">
        <v>1109</v>
      </c>
      <c r="O120" s="2" t="s">
        <v>1110</v>
      </c>
      <c r="P120" s="2" t="s">
        <v>1111</v>
      </c>
      <c r="Q120" s="3">
        <f t="shared" si="1"/>
        <v>5</v>
      </c>
      <c r="R120" s="3">
        <f t="shared" si="2"/>
        <v>0.052575036</v>
      </c>
      <c r="S120" s="3">
        <f t="shared" si="3"/>
        <v>-0.295694432</v>
      </c>
      <c r="T120" s="3">
        <f t="shared" si="4"/>
        <v>0.092757016</v>
      </c>
      <c r="U120" s="3">
        <f t="shared" si="12"/>
        <v>76</v>
      </c>
      <c r="V120" s="3">
        <f t="shared" si="6"/>
        <v>49</v>
      </c>
      <c r="W120" s="3">
        <f t="shared" si="7"/>
        <v>84</v>
      </c>
      <c r="X120" s="3" t="str">
        <f t="shared" si="8"/>
        <v/>
      </c>
      <c r="Y120" s="3" t="str">
        <f t="shared" si="9"/>
        <v/>
      </c>
      <c r="Z120" s="3" t="str">
        <f t="shared" si="10"/>
        <v/>
      </c>
      <c r="AA120" s="3">
        <f t="shared" si="11"/>
        <v>-0.388451448</v>
      </c>
    </row>
    <row r="121">
      <c r="A121" s="1" t="s">
        <v>1097</v>
      </c>
      <c r="B121" s="2" t="s">
        <v>43</v>
      </c>
      <c r="C121" s="2" t="s">
        <v>1112</v>
      </c>
      <c r="D121" s="2" t="s">
        <v>1113</v>
      </c>
      <c r="E121" s="2" t="s">
        <v>1114</v>
      </c>
      <c r="F121" s="2" t="s">
        <v>1115</v>
      </c>
      <c r="G121" s="2" t="s">
        <v>1116</v>
      </c>
      <c r="H121" s="2" t="s">
        <v>1117</v>
      </c>
      <c r="I121" s="2" t="s">
        <v>1118</v>
      </c>
      <c r="J121" s="2" t="s">
        <v>1119</v>
      </c>
      <c r="K121" s="2" t="s">
        <v>1120</v>
      </c>
      <c r="L121" s="2" t="s">
        <v>1121</v>
      </c>
      <c r="M121" s="2" t="s">
        <v>1122</v>
      </c>
      <c r="N121" s="2" t="s">
        <v>1123</v>
      </c>
      <c r="O121" s="2" t="s">
        <v>1124</v>
      </c>
      <c r="P121" s="2" t="s">
        <v>55</v>
      </c>
      <c r="Q121" s="3" t="str">
        <f t="shared" si="1"/>
        <v/>
      </c>
      <c r="R121" s="3" t="str">
        <f t="shared" si="2"/>
        <v/>
      </c>
      <c r="S121" s="3" t="str">
        <f t="shared" si="3"/>
        <v/>
      </c>
      <c r="T121" s="3" t="str">
        <f t="shared" si="4"/>
        <v/>
      </c>
      <c r="U121" s="3">
        <f t="shared" si="12"/>
        <v>76</v>
      </c>
      <c r="V121" s="3">
        <f t="shared" si="6"/>
        <v>47</v>
      </c>
      <c r="W121" s="3">
        <f t="shared" si="7"/>
        <v>84</v>
      </c>
      <c r="X121" s="3" t="str">
        <f t="shared" si="8"/>
        <v/>
      </c>
      <c r="Y121" s="3" t="str">
        <f t="shared" si="9"/>
        <v/>
      </c>
      <c r="Z121" s="3" t="str">
        <f t="shared" si="10"/>
        <v/>
      </c>
      <c r="AA121" s="3">
        <f t="shared" si="11"/>
        <v>0</v>
      </c>
    </row>
    <row r="122">
      <c r="A122" s="1" t="s">
        <v>1125</v>
      </c>
      <c r="B122" s="2" t="s">
        <v>28</v>
      </c>
      <c r="C122" s="2" t="s">
        <v>1126</v>
      </c>
      <c r="D122" s="2" t="s">
        <v>1127</v>
      </c>
      <c r="E122" s="2" t="s">
        <v>1128</v>
      </c>
      <c r="F122" s="2" t="s">
        <v>55</v>
      </c>
      <c r="G122" s="2" t="s">
        <v>1129</v>
      </c>
      <c r="H122" s="2" t="s">
        <v>55</v>
      </c>
      <c r="I122" s="1" t="s">
        <v>112</v>
      </c>
      <c r="J122" s="1" t="s">
        <v>112</v>
      </c>
      <c r="K122" s="1" t="s">
        <v>112</v>
      </c>
      <c r="L122" s="1" t="s">
        <v>112</v>
      </c>
      <c r="M122" s="1" t="s">
        <v>112</v>
      </c>
      <c r="N122" s="1" t="s">
        <v>112</v>
      </c>
      <c r="O122" s="1" t="s">
        <v>112</v>
      </c>
      <c r="P122" s="1" t="s">
        <v>112</v>
      </c>
      <c r="Q122" s="3">
        <f t="shared" si="1"/>
        <v>2</v>
      </c>
      <c r="R122" s="3">
        <f t="shared" si="2"/>
        <v>0</v>
      </c>
      <c r="S122" s="3" t="str">
        <f t="shared" si="3"/>
        <v/>
      </c>
      <c r="T122" s="3" t="str">
        <f t="shared" si="4"/>
        <v/>
      </c>
      <c r="U122" s="3">
        <f t="shared" si="12"/>
        <v>95</v>
      </c>
      <c r="V122" s="3">
        <f t="shared" si="6"/>
        <v>0</v>
      </c>
      <c r="W122" s="3">
        <f t="shared" si="7"/>
        <v>0</v>
      </c>
      <c r="X122" s="3" t="str">
        <f t="shared" si="8"/>
        <v/>
      </c>
      <c r="Y122" s="3" t="str">
        <f t="shared" si="9"/>
        <v/>
      </c>
      <c r="Z122" s="3" t="str">
        <f t="shared" si="10"/>
        <v/>
      </c>
      <c r="AA122" s="3">
        <f t="shared" si="11"/>
        <v>0</v>
      </c>
    </row>
    <row r="123">
      <c r="A123" s="1" t="s">
        <v>1125</v>
      </c>
      <c r="B123" s="2" t="s">
        <v>158</v>
      </c>
      <c r="C123" s="2" t="s">
        <v>1130</v>
      </c>
      <c r="D123" s="2" t="s">
        <v>1131</v>
      </c>
      <c r="E123" s="2" t="s">
        <v>1128</v>
      </c>
      <c r="F123" s="2" t="s">
        <v>55</v>
      </c>
      <c r="G123" s="2" t="s">
        <v>1129</v>
      </c>
      <c r="H123" s="2" t="s">
        <v>55</v>
      </c>
      <c r="I123" s="1" t="s">
        <v>112</v>
      </c>
      <c r="J123" s="1" t="s">
        <v>112</v>
      </c>
      <c r="K123" s="1" t="s">
        <v>112</v>
      </c>
      <c r="L123" s="1" t="s">
        <v>112</v>
      </c>
      <c r="M123" s="1" t="s">
        <v>112</v>
      </c>
      <c r="N123" s="1" t="s">
        <v>112</v>
      </c>
      <c r="O123" s="1" t="s">
        <v>112</v>
      </c>
      <c r="P123" s="1" t="s">
        <v>112</v>
      </c>
      <c r="Q123" s="3" t="str">
        <f t="shared" si="1"/>
        <v/>
      </c>
      <c r="R123" s="3" t="str">
        <f t="shared" si="2"/>
        <v/>
      </c>
      <c r="S123" s="3" t="str">
        <f t="shared" si="3"/>
        <v/>
      </c>
      <c r="T123" s="3" t="str">
        <f t="shared" si="4"/>
        <v/>
      </c>
      <c r="U123" s="3">
        <f t="shared" si="12"/>
        <v>95</v>
      </c>
      <c r="V123" s="3">
        <f t="shared" si="6"/>
        <v>0</v>
      </c>
      <c r="W123" s="3">
        <f t="shared" si="7"/>
        <v>0</v>
      </c>
      <c r="X123" s="3" t="str">
        <f t="shared" si="8"/>
        <v/>
      </c>
      <c r="Y123" s="3" t="str">
        <f t="shared" si="9"/>
        <v/>
      </c>
      <c r="Z123" s="3" t="str">
        <f t="shared" si="10"/>
        <v/>
      </c>
      <c r="AA123" s="3">
        <f t="shared" si="11"/>
        <v>0</v>
      </c>
    </row>
    <row r="124">
      <c r="A124" s="1" t="s">
        <v>1132</v>
      </c>
      <c r="B124" s="2" t="s">
        <v>28</v>
      </c>
      <c r="C124" s="2" t="s">
        <v>1133</v>
      </c>
      <c r="D124" s="2" t="s">
        <v>1134</v>
      </c>
      <c r="E124" s="2" t="s">
        <v>1135</v>
      </c>
      <c r="F124" s="2" t="s">
        <v>1136</v>
      </c>
      <c r="G124" s="2" t="s">
        <v>1137</v>
      </c>
      <c r="H124" s="2" t="s">
        <v>1138</v>
      </c>
      <c r="I124" s="2" t="s">
        <v>1139</v>
      </c>
      <c r="J124" s="2" t="s">
        <v>1140</v>
      </c>
      <c r="K124" s="2" t="s">
        <v>1141</v>
      </c>
      <c r="L124" s="2" t="s">
        <v>1142</v>
      </c>
      <c r="M124" s="2" t="s">
        <v>1143</v>
      </c>
      <c r="N124" s="2" t="s">
        <v>1144</v>
      </c>
      <c r="O124" s="2" t="s">
        <v>1145</v>
      </c>
      <c r="P124" s="2" t="s">
        <v>1146</v>
      </c>
      <c r="Q124" s="3">
        <f t="shared" si="1"/>
        <v>5</v>
      </c>
      <c r="R124" s="3">
        <f t="shared" si="2"/>
        <v>0.117494684</v>
      </c>
      <c r="S124" s="3">
        <f t="shared" si="3"/>
        <v>0.218684118</v>
      </c>
      <c r="T124" s="3">
        <f t="shared" si="4"/>
        <v>0.011664354</v>
      </c>
      <c r="U124" s="3">
        <f t="shared" si="12"/>
        <v>96</v>
      </c>
      <c r="V124" s="3">
        <f t="shared" si="6"/>
        <v>89</v>
      </c>
      <c r="W124" s="3">
        <f t="shared" si="7"/>
        <v>98</v>
      </c>
      <c r="X124" s="3" t="str">
        <f t="shared" si="8"/>
        <v/>
      </c>
      <c r="Y124" s="3" t="str">
        <f t="shared" si="9"/>
        <v/>
      </c>
      <c r="Z124" s="3" t="str">
        <f t="shared" si="10"/>
        <v/>
      </c>
      <c r="AA124" s="3">
        <f t="shared" si="11"/>
        <v>0.207019764</v>
      </c>
    </row>
    <row r="125">
      <c r="A125" s="1" t="s">
        <v>1132</v>
      </c>
      <c r="B125" s="2" t="s">
        <v>43</v>
      </c>
      <c r="C125" s="2" t="s">
        <v>1147</v>
      </c>
      <c r="D125" s="2" t="s">
        <v>1148</v>
      </c>
      <c r="E125" s="2" t="s">
        <v>1149</v>
      </c>
      <c r="F125" s="2" t="s">
        <v>1150</v>
      </c>
      <c r="G125" s="2" t="s">
        <v>1151</v>
      </c>
      <c r="H125" s="2" t="s">
        <v>1152</v>
      </c>
      <c r="I125" s="2" t="s">
        <v>1153</v>
      </c>
      <c r="J125" s="2" t="s">
        <v>1154</v>
      </c>
      <c r="K125" s="2" t="s">
        <v>1155</v>
      </c>
      <c r="L125" s="2" t="s">
        <v>1156</v>
      </c>
      <c r="M125" s="2" t="s">
        <v>1157</v>
      </c>
      <c r="N125" s="2" t="s">
        <v>1158</v>
      </c>
      <c r="O125" s="2" t="s">
        <v>1159</v>
      </c>
      <c r="P125" s="2" t="s">
        <v>1160</v>
      </c>
      <c r="Q125" s="3" t="str">
        <f t="shared" si="1"/>
        <v/>
      </c>
      <c r="R125" s="3" t="str">
        <f t="shared" si="2"/>
        <v/>
      </c>
      <c r="S125" s="3" t="str">
        <f t="shared" si="3"/>
        <v/>
      </c>
      <c r="T125" s="3" t="str">
        <f t="shared" si="4"/>
        <v/>
      </c>
      <c r="U125" s="3">
        <f t="shared" si="12"/>
        <v>97</v>
      </c>
      <c r="V125" s="3">
        <f t="shared" si="6"/>
        <v>90</v>
      </c>
      <c r="W125" s="3">
        <f t="shared" si="7"/>
        <v>98</v>
      </c>
      <c r="X125" s="3" t="str">
        <f t="shared" si="8"/>
        <v/>
      </c>
      <c r="Y125" s="3" t="str">
        <f t="shared" si="9"/>
        <v/>
      </c>
      <c r="Z125" s="3" t="str">
        <f t="shared" si="10"/>
        <v/>
      </c>
      <c r="AA125" s="3">
        <f t="shared" si="11"/>
        <v>0</v>
      </c>
    </row>
    <row r="126">
      <c r="A126" s="1" t="s">
        <v>1161</v>
      </c>
      <c r="B126" s="2" t="s">
        <v>28</v>
      </c>
      <c r="C126" s="2" t="s">
        <v>1162</v>
      </c>
      <c r="D126" s="2" t="s">
        <v>1163</v>
      </c>
      <c r="E126" s="2" t="s">
        <v>1164</v>
      </c>
      <c r="F126" s="2" t="s">
        <v>1165</v>
      </c>
      <c r="G126" s="2" t="s">
        <v>1166</v>
      </c>
      <c r="H126" s="2" t="s">
        <v>1167</v>
      </c>
      <c r="I126" s="2" t="s">
        <v>1168</v>
      </c>
      <c r="J126" s="2" t="s">
        <v>1169</v>
      </c>
      <c r="K126" s="2" t="s">
        <v>1170</v>
      </c>
      <c r="L126" s="2" t="s">
        <v>1171</v>
      </c>
      <c r="M126" s="2" t="s">
        <v>1172</v>
      </c>
      <c r="N126" s="2" t="s">
        <v>1173</v>
      </c>
      <c r="O126" s="2" t="s">
        <v>1174</v>
      </c>
      <c r="P126" s="2" t="s">
        <v>1175</v>
      </c>
      <c r="Q126" s="3">
        <f t="shared" si="1"/>
        <v>5</v>
      </c>
      <c r="R126" s="3">
        <f t="shared" si="2"/>
        <v>0.459196812</v>
      </c>
      <c r="S126" s="3">
        <f t="shared" si="3"/>
        <v>0.8996526</v>
      </c>
      <c r="T126" s="3">
        <f t="shared" si="4"/>
        <v>0.17353216</v>
      </c>
      <c r="U126" s="3">
        <f t="shared" si="12"/>
        <v>93</v>
      </c>
      <c r="V126" s="3">
        <f t="shared" si="6"/>
        <v>83</v>
      </c>
      <c r="W126" s="3">
        <f t="shared" si="7"/>
        <v>99</v>
      </c>
      <c r="X126" s="3" t="str">
        <f t="shared" si="8"/>
        <v/>
      </c>
      <c r="Y126" s="3" t="str">
        <f t="shared" si="9"/>
        <v/>
      </c>
      <c r="Z126" s="3" t="str">
        <f t="shared" si="10"/>
        <v/>
      </c>
      <c r="AA126" s="3">
        <f t="shared" si="11"/>
        <v>0.72612044</v>
      </c>
    </row>
    <row r="127">
      <c r="A127" s="1" t="s">
        <v>1161</v>
      </c>
      <c r="B127" s="2" t="s">
        <v>43</v>
      </c>
      <c r="C127" s="2" t="s">
        <v>1176</v>
      </c>
      <c r="D127" s="2" t="s">
        <v>1177</v>
      </c>
      <c r="E127" s="2" t="s">
        <v>1178</v>
      </c>
      <c r="F127" s="2" t="s">
        <v>1179</v>
      </c>
      <c r="G127" s="2" t="s">
        <v>1180</v>
      </c>
      <c r="H127" s="2" t="s">
        <v>1181</v>
      </c>
      <c r="I127" s="2" t="s">
        <v>1182</v>
      </c>
      <c r="J127" s="2" t="s">
        <v>1183</v>
      </c>
      <c r="K127" s="2" t="s">
        <v>1184</v>
      </c>
      <c r="L127" s="2" t="s">
        <v>1185</v>
      </c>
      <c r="M127" s="2" t="s">
        <v>54</v>
      </c>
      <c r="N127" s="2" t="s">
        <v>55</v>
      </c>
      <c r="O127" s="2" t="s">
        <v>55</v>
      </c>
      <c r="P127" s="2" t="s">
        <v>55</v>
      </c>
      <c r="Q127" s="3" t="str">
        <f t="shared" si="1"/>
        <v/>
      </c>
      <c r="R127" s="3" t="str">
        <f t="shared" si="2"/>
        <v/>
      </c>
      <c r="S127" s="3" t="str">
        <f t="shared" si="3"/>
        <v/>
      </c>
      <c r="T127" s="3" t="str">
        <f t="shared" si="4"/>
        <v/>
      </c>
      <c r="U127" s="3">
        <f t="shared" si="12"/>
        <v>95</v>
      </c>
      <c r="V127" s="3">
        <f t="shared" si="6"/>
        <v>87</v>
      </c>
      <c r="W127" s="3">
        <f t="shared" si="7"/>
        <v>100</v>
      </c>
      <c r="X127" s="3" t="str">
        <f t="shared" si="8"/>
        <v/>
      </c>
      <c r="Y127" s="3" t="str">
        <f t="shared" si="9"/>
        <v/>
      </c>
      <c r="Z127" s="3" t="str">
        <f t="shared" si="10"/>
        <v/>
      </c>
      <c r="AA127" s="3">
        <f t="shared" si="11"/>
        <v>0</v>
      </c>
    </row>
    <row r="128">
      <c r="A128" s="1" t="s">
        <v>1186</v>
      </c>
      <c r="B128" s="2" t="s">
        <v>28</v>
      </c>
      <c r="C128" s="2" t="s">
        <v>1187</v>
      </c>
      <c r="D128" s="2" t="s">
        <v>1188</v>
      </c>
      <c r="E128" s="2" t="s">
        <v>1189</v>
      </c>
      <c r="F128" s="2" t="s">
        <v>1190</v>
      </c>
      <c r="G128" s="2" t="s">
        <v>1191</v>
      </c>
      <c r="H128" s="2" t="s">
        <v>1192</v>
      </c>
      <c r="I128" s="2" t="s">
        <v>1193</v>
      </c>
      <c r="J128" s="2" t="s">
        <v>1194</v>
      </c>
      <c r="K128" s="2" t="s">
        <v>1195</v>
      </c>
      <c r="L128" s="2" t="s">
        <v>1196</v>
      </c>
      <c r="M128" s="2" t="s">
        <v>1197</v>
      </c>
      <c r="N128" s="2" t="s">
        <v>1198</v>
      </c>
      <c r="O128" s="2" t="s">
        <v>1199</v>
      </c>
      <c r="P128" s="2" t="s">
        <v>55</v>
      </c>
      <c r="Q128" s="3">
        <f t="shared" si="1"/>
        <v>5</v>
      </c>
      <c r="R128" s="3">
        <f t="shared" si="2"/>
        <v>0.066691684</v>
      </c>
      <c r="S128" s="3">
        <f t="shared" si="3"/>
        <v>0.106191446</v>
      </c>
      <c r="T128" s="3">
        <f t="shared" si="4"/>
        <v>0.013872274</v>
      </c>
      <c r="U128" s="3">
        <f t="shared" si="12"/>
        <v>99</v>
      </c>
      <c r="V128" s="3">
        <f t="shared" si="6"/>
        <v>99</v>
      </c>
      <c r="W128" s="3">
        <f t="shared" si="7"/>
        <v>100</v>
      </c>
      <c r="X128" s="3" t="str">
        <f t="shared" si="8"/>
        <v/>
      </c>
      <c r="Y128" s="3" t="str">
        <f t="shared" si="9"/>
        <v/>
      </c>
      <c r="Z128" s="3" t="str">
        <f t="shared" si="10"/>
        <v>full access</v>
      </c>
      <c r="AA128" s="3">
        <f t="shared" si="11"/>
        <v>0.092319172</v>
      </c>
    </row>
    <row r="129">
      <c r="A129" s="1" t="s">
        <v>1186</v>
      </c>
      <c r="B129" s="2" t="s">
        <v>43</v>
      </c>
      <c r="C129" s="2" t="s">
        <v>1200</v>
      </c>
      <c r="D129" s="2" t="s">
        <v>1201</v>
      </c>
      <c r="E129" s="2" t="s">
        <v>1202</v>
      </c>
      <c r="F129" s="2" t="s">
        <v>1203</v>
      </c>
      <c r="G129" s="2" t="s">
        <v>1204</v>
      </c>
      <c r="H129" s="2" t="s">
        <v>55</v>
      </c>
      <c r="I129" s="2" t="s">
        <v>1205</v>
      </c>
      <c r="J129" s="2" t="s">
        <v>1206</v>
      </c>
      <c r="K129" s="2" t="s">
        <v>1207</v>
      </c>
      <c r="L129" s="2" t="s">
        <v>55</v>
      </c>
      <c r="M129" s="2" t="s">
        <v>1208</v>
      </c>
      <c r="N129" s="2" t="s">
        <v>1209</v>
      </c>
      <c r="O129" s="2" t="s">
        <v>1210</v>
      </c>
      <c r="P129" s="2" t="s">
        <v>55</v>
      </c>
      <c r="Q129" s="3" t="str">
        <f t="shared" si="1"/>
        <v/>
      </c>
      <c r="R129" s="3" t="str">
        <f t="shared" si="2"/>
        <v/>
      </c>
      <c r="S129" s="3" t="str">
        <f t="shared" si="3"/>
        <v/>
      </c>
      <c r="T129" s="3" t="str">
        <f t="shared" si="4"/>
        <v/>
      </c>
      <c r="U129" s="3">
        <f t="shared" si="12"/>
        <v>99</v>
      </c>
      <c r="V129" s="3">
        <f t="shared" si="6"/>
        <v>99</v>
      </c>
      <c r="W129" s="3">
        <f t="shared" si="7"/>
        <v>100</v>
      </c>
      <c r="X129" s="3" t="str">
        <f t="shared" si="8"/>
        <v/>
      </c>
      <c r="Y129" s="3" t="str">
        <f t="shared" si="9"/>
        <v/>
      </c>
      <c r="Z129" s="3" t="str">
        <f t="shared" si="10"/>
        <v/>
      </c>
      <c r="AA129" s="3">
        <f t="shared" si="11"/>
        <v>0</v>
      </c>
    </row>
    <row r="130">
      <c r="A130" s="1" t="s">
        <v>1211</v>
      </c>
      <c r="B130" s="2" t="s">
        <v>28</v>
      </c>
      <c r="C130" s="2" t="s">
        <v>1212</v>
      </c>
      <c r="D130" s="2" t="s">
        <v>1213</v>
      </c>
      <c r="E130" s="2" t="s">
        <v>1214</v>
      </c>
      <c r="F130" s="2" t="s">
        <v>1215</v>
      </c>
      <c r="G130" s="2" t="s">
        <v>1216</v>
      </c>
      <c r="H130" s="2" t="s">
        <v>1217</v>
      </c>
      <c r="I130" s="2" t="s">
        <v>1218</v>
      </c>
      <c r="J130" s="2" t="s">
        <v>1219</v>
      </c>
      <c r="K130" s="2" t="s">
        <v>1220</v>
      </c>
      <c r="L130" s="2" t="s">
        <v>1221</v>
      </c>
      <c r="M130" s="2" t="s">
        <v>1222</v>
      </c>
      <c r="N130" s="2" t="s">
        <v>1223</v>
      </c>
      <c r="O130" s="2" t="s">
        <v>1224</v>
      </c>
      <c r="P130" s="2" t="s">
        <v>1225</v>
      </c>
      <c r="Q130" s="3">
        <f t="shared" si="1"/>
        <v>5</v>
      </c>
      <c r="R130" s="3">
        <f t="shared" si="2"/>
        <v>0.476887534</v>
      </c>
      <c r="S130" s="3">
        <f t="shared" si="3"/>
        <v>1.098636152</v>
      </c>
      <c r="T130" s="3">
        <f t="shared" si="4"/>
        <v>0.140890432</v>
      </c>
      <c r="U130" s="3">
        <f t="shared" si="12"/>
        <v>96</v>
      </c>
      <c r="V130" s="3">
        <f t="shared" si="6"/>
        <v>88</v>
      </c>
      <c r="W130" s="3">
        <f t="shared" si="7"/>
        <v>99</v>
      </c>
      <c r="X130" s="3" t="str">
        <f t="shared" si="8"/>
        <v/>
      </c>
      <c r="Y130" s="3" t="str">
        <f t="shared" si="9"/>
        <v/>
      </c>
      <c r="Z130" s="3" t="str">
        <f t="shared" si="10"/>
        <v/>
      </c>
      <c r="AA130" s="3">
        <f t="shared" si="11"/>
        <v>0.95774572</v>
      </c>
    </row>
    <row r="131">
      <c r="A131" s="1" t="s">
        <v>1211</v>
      </c>
      <c r="B131" s="2" t="s">
        <v>43</v>
      </c>
      <c r="C131" s="2" t="s">
        <v>1226</v>
      </c>
      <c r="D131" s="2" t="s">
        <v>1227</v>
      </c>
      <c r="E131" s="2" t="s">
        <v>1228</v>
      </c>
      <c r="F131" s="2" t="s">
        <v>1229</v>
      </c>
      <c r="G131" s="2" t="s">
        <v>1230</v>
      </c>
      <c r="H131" s="2" t="s">
        <v>1231</v>
      </c>
      <c r="I131" s="2" t="s">
        <v>1232</v>
      </c>
      <c r="J131" s="2" t="s">
        <v>1233</v>
      </c>
      <c r="K131" s="2" t="s">
        <v>55</v>
      </c>
      <c r="L131" s="2" t="s">
        <v>1234</v>
      </c>
      <c r="M131" s="2" t="s">
        <v>1235</v>
      </c>
      <c r="N131" s="2" t="s">
        <v>55</v>
      </c>
      <c r="O131" s="2" t="s">
        <v>1236</v>
      </c>
      <c r="P131" s="2" t="s">
        <v>55</v>
      </c>
      <c r="Q131" s="3" t="str">
        <f t="shared" si="1"/>
        <v/>
      </c>
      <c r="R131" s="3" t="str">
        <f t="shared" si="2"/>
        <v/>
      </c>
      <c r="S131" s="3" t="str">
        <f t="shared" si="3"/>
        <v/>
      </c>
      <c r="T131" s="3" t="str">
        <f t="shared" si="4"/>
        <v/>
      </c>
      <c r="U131" s="3">
        <f t="shared" si="12"/>
        <v>98</v>
      </c>
      <c r="V131" s="3">
        <f t="shared" si="6"/>
        <v>93</v>
      </c>
      <c r="W131" s="3">
        <f t="shared" si="7"/>
        <v>100</v>
      </c>
      <c r="X131" s="3" t="str">
        <f t="shared" si="8"/>
        <v/>
      </c>
      <c r="Y131" s="3" t="str">
        <f t="shared" si="9"/>
        <v/>
      </c>
      <c r="Z131" s="3" t="str">
        <f t="shared" si="10"/>
        <v/>
      </c>
      <c r="AA131" s="3">
        <f t="shared" si="11"/>
        <v>0</v>
      </c>
    </row>
    <row r="132">
      <c r="A132" s="1" t="s">
        <v>1237</v>
      </c>
      <c r="B132" s="2" t="s">
        <v>28</v>
      </c>
      <c r="C132" s="2" t="s">
        <v>1238</v>
      </c>
      <c r="D132" s="2" t="s">
        <v>1239</v>
      </c>
      <c r="E132" s="2" t="s">
        <v>1240</v>
      </c>
      <c r="F132" s="2" t="s">
        <v>1241</v>
      </c>
      <c r="G132" s="2" t="s">
        <v>1242</v>
      </c>
      <c r="H132" s="2" t="s">
        <v>1243</v>
      </c>
      <c r="I132" s="2" t="s">
        <v>1244</v>
      </c>
      <c r="J132" s="2" t="s">
        <v>1245</v>
      </c>
      <c r="K132" s="2" t="s">
        <v>1246</v>
      </c>
      <c r="L132" s="2" t="s">
        <v>1247</v>
      </c>
      <c r="M132" s="2" t="s">
        <v>1248</v>
      </c>
      <c r="N132" s="2" t="s">
        <v>1249</v>
      </c>
      <c r="O132" s="2" t="s">
        <v>1250</v>
      </c>
      <c r="P132" s="2" t="s">
        <v>1251</v>
      </c>
      <c r="Q132" s="3">
        <f t="shared" si="1"/>
        <v>2</v>
      </c>
      <c r="R132" s="3">
        <f t="shared" si="2"/>
        <v>0.243607205</v>
      </c>
      <c r="S132" s="3">
        <f t="shared" si="3"/>
        <v>0</v>
      </c>
      <c r="T132" s="3">
        <f t="shared" si="4"/>
        <v>0</v>
      </c>
      <c r="U132" s="3">
        <f t="shared" si="12"/>
        <v>64</v>
      </c>
      <c r="V132" s="3">
        <f t="shared" si="6"/>
        <v>31</v>
      </c>
      <c r="W132" s="3">
        <f t="shared" si="7"/>
        <v>78</v>
      </c>
      <c r="X132" s="3" t="str">
        <f t="shared" si="8"/>
        <v/>
      </c>
      <c r="Y132" s="3" t="str">
        <f t="shared" si="9"/>
        <v/>
      </c>
      <c r="Z132" s="3" t="str">
        <f t="shared" si="10"/>
        <v/>
      </c>
      <c r="AA132" s="3">
        <f t="shared" si="11"/>
        <v>0</v>
      </c>
    </row>
    <row r="133">
      <c r="A133" s="1" t="s">
        <v>1237</v>
      </c>
      <c r="B133" s="2" t="s">
        <v>158</v>
      </c>
      <c r="C133" s="2" t="s">
        <v>1252</v>
      </c>
      <c r="D133" s="2" t="s">
        <v>1253</v>
      </c>
      <c r="E133" s="2" t="s">
        <v>1254</v>
      </c>
      <c r="F133" s="2" t="s">
        <v>1255</v>
      </c>
      <c r="G133" s="2" t="s">
        <v>1256</v>
      </c>
      <c r="H133" s="2" t="s">
        <v>1257</v>
      </c>
      <c r="I133" s="2" t="s">
        <v>1244</v>
      </c>
      <c r="J133" s="2" t="s">
        <v>1245</v>
      </c>
      <c r="K133" s="2" t="s">
        <v>1246</v>
      </c>
      <c r="L133" s="2" t="s">
        <v>1247</v>
      </c>
      <c r="M133" s="2" t="s">
        <v>1248</v>
      </c>
      <c r="N133" s="2" t="s">
        <v>1249</v>
      </c>
      <c r="O133" s="2" t="s">
        <v>1250</v>
      </c>
      <c r="P133" s="2" t="s">
        <v>1251</v>
      </c>
      <c r="Q133" s="3" t="str">
        <f t="shared" si="1"/>
        <v/>
      </c>
      <c r="R133" s="3" t="str">
        <f t="shared" si="2"/>
        <v/>
      </c>
      <c r="S133" s="3" t="str">
        <f t="shared" si="3"/>
        <v/>
      </c>
      <c r="T133" s="3" t="str">
        <f t="shared" si="4"/>
        <v/>
      </c>
      <c r="U133" s="3">
        <f t="shared" si="12"/>
        <v>65</v>
      </c>
      <c r="V133" s="3">
        <f t="shared" si="6"/>
        <v>31</v>
      </c>
      <c r="W133" s="3">
        <f t="shared" si="7"/>
        <v>78</v>
      </c>
      <c r="X133" s="3" t="str">
        <f t="shared" si="8"/>
        <v/>
      </c>
      <c r="Y133" s="3" t="str">
        <f t="shared" si="9"/>
        <v/>
      </c>
      <c r="Z133" s="3" t="str">
        <f t="shared" si="10"/>
        <v/>
      </c>
      <c r="AA133" s="3">
        <f t="shared" si="11"/>
        <v>0</v>
      </c>
    </row>
    <row r="134">
      <c r="A134" s="1" t="s">
        <v>1258</v>
      </c>
      <c r="B134" s="2" t="s">
        <v>28</v>
      </c>
      <c r="C134" s="2" t="s">
        <v>1259</v>
      </c>
      <c r="D134" s="2" t="s">
        <v>1260</v>
      </c>
      <c r="E134" s="2" t="s">
        <v>1261</v>
      </c>
      <c r="F134" s="2" t="s">
        <v>1262</v>
      </c>
      <c r="G134" s="2" t="s">
        <v>1263</v>
      </c>
      <c r="H134" s="2" t="s">
        <v>1264</v>
      </c>
      <c r="I134" s="2" t="s">
        <v>1265</v>
      </c>
      <c r="J134" s="2" t="s">
        <v>1266</v>
      </c>
      <c r="K134" s="2" t="s">
        <v>1267</v>
      </c>
      <c r="L134" s="2" t="s">
        <v>1268</v>
      </c>
      <c r="M134" s="2" t="s">
        <v>1269</v>
      </c>
      <c r="N134" s="2" t="s">
        <v>1270</v>
      </c>
      <c r="O134" s="2" t="s">
        <v>1271</v>
      </c>
      <c r="P134" s="2" t="s">
        <v>1272</v>
      </c>
      <c r="Q134" s="3">
        <f t="shared" si="1"/>
        <v>1</v>
      </c>
      <c r="R134" s="3">
        <f t="shared" si="2"/>
        <v>0.38462665</v>
      </c>
      <c r="S134" s="3">
        <f t="shared" si="3"/>
        <v>0</v>
      </c>
      <c r="T134" s="3">
        <f t="shared" si="4"/>
        <v>0</v>
      </c>
      <c r="U134" s="3">
        <f t="shared" si="12"/>
        <v>51</v>
      </c>
      <c r="V134" s="3">
        <f t="shared" si="6"/>
        <v>28</v>
      </c>
      <c r="W134" s="3">
        <f t="shared" si="7"/>
        <v>90</v>
      </c>
      <c r="X134" s="3" t="str">
        <f t="shared" si="8"/>
        <v/>
      </c>
      <c r="Y134" s="3" t="str">
        <f t="shared" si="9"/>
        <v/>
      </c>
      <c r="Z134" s="3" t="str">
        <f t="shared" si="10"/>
        <v/>
      </c>
      <c r="AA134" s="3">
        <f t="shared" si="11"/>
        <v>0</v>
      </c>
    </row>
    <row r="135">
      <c r="A135" s="1" t="s">
        <v>1258</v>
      </c>
      <c r="B135" s="2" t="s">
        <v>205</v>
      </c>
      <c r="C135" s="2" t="s">
        <v>1273</v>
      </c>
      <c r="D135" s="2" t="s">
        <v>1274</v>
      </c>
      <c r="E135" s="2" t="s">
        <v>1275</v>
      </c>
      <c r="F135" s="2" t="s">
        <v>1276</v>
      </c>
      <c r="G135" s="2" t="s">
        <v>1277</v>
      </c>
      <c r="H135" s="2" t="s">
        <v>1278</v>
      </c>
      <c r="I135" s="2" t="s">
        <v>1265</v>
      </c>
      <c r="J135" s="2" t="s">
        <v>1266</v>
      </c>
      <c r="K135" s="2" t="s">
        <v>1267</v>
      </c>
      <c r="L135" s="2" t="s">
        <v>1268</v>
      </c>
      <c r="M135" s="2" t="s">
        <v>1269</v>
      </c>
      <c r="N135" s="2" t="s">
        <v>1270</v>
      </c>
      <c r="O135" s="2" t="s">
        <v>1271</v>
      </c>
      <c r="P135" s="2" t="s">
        <v>1272</v>
      </c>
      <c r="Q135" s="3" t="str">
        <f t="shared" si="1"/>
        <v/>
      </c>
      <c r="R135" s="3" t="str">
        <f t="shared" si="2"/>
        <v/>
      </c>
      <c r="S135" s="3" t="str">
        <f t="shared" si="3"/>
        <v/>
      </c>
      <c r="T135" s="3" t="str">
        <f t="shared" si="4"/>
        <v/>
      </c>
      <c r="U135" s="3">
        <f t="shared" si="12"/>
        <v>52</v>
      </c>
      <c r="V135" s="3">
        <f t="shared" si="6"/>
        <v>28</v>
      </c>
      <c r="W135" s="3">
        <f t="shared" si="7"/>
        <v>90</v>
      </c>
      <c r="X135" s="3" t="str">
        <f t="shared" si="8"/>
        <v/>
      </c>
      <c r="Y135" s="3" t="str">
        <f t="shared" si="9"/>
        <v/>
      </c>
      <c r="Z135" s="3" t="str">
        <f t="shared" si="10"/>
        <v/>
      </c>
      <c r="AA135" s="3">
        <f t="shared" si="11"/>
        <v>0</v>
      </c>
    </row>
    <row r="136">
      <c r="A136" s="1" t="s">
        <v>1279</v>
      </c>
      <c r="B136" s="2" t="s">
        <v>28</v>
      </c>
      <c r="C136" s="2" t="s">
        <v>1280</v>
      </c>
      <c r="D136" s="2" t="s">
        <v>1281</v>
      </c>
      <c r="E136" s="2" t="s">
        <v>1282</v>
      </c>
      <c r="F136" s="2" t="s">
        <v>55</v>
      </c>
      <c r="G136" s="2" t="s">
        <v>1283</v>
      </c>
      <c r="H136" s="2" t="s">
        <v>55</v>
      </c>
      <c r="I136" s="2" t="s">
        <v>1284</v>
      </c>
      <c r="J136" s="2" t="s">
        <v>55</v>
      </c>
      <c r="K136" s="2" t="s">
        <v>1285</v>
      </c>
      <c r="L136" s="2" t="s">
        <v>55</v>
      </c>
      <c r="M136" s="2" t="s">
        <v>1286</v>
      </c>
      <c r="N136" s="2" t="s">
        <v>55</v>
      </c>
      <c r="O136" s="2" t="s">
        <v>1287</v>
      </c>
      <c r="P136" s="2" t="s">
        <v>55</v>
      </c>
      <c r="Q136" s="3">
        <f t="shared" si="1"/>
        <v>5</v>
      </c>
      <c r="R136" s="3">
        <f t="shared" si="2"/>
        <v>-0.032105158</v>
      </c>
      <c r="S136" s="3" t="str">
        <f t="shared" si="3"/>
        <v/>
      </c>
      <c r="T136" s="3">
        <f t="shared" si="4"/>
        <v>0</v>
      </c>
      <c r="U136" s="3">
        <f t="shared" si="12"/>
        <v>100</v>
      </c>
      <c r="V136" s="3">
        <f t="shared" si="6"/>
        <v>99</v>
      </c>
      <c r="W136" s="3">
        <f t="shared" si="7"/>
        <v>100</v>
      </c>
      <c r="X136" s="3" t="str">
        <f t="shared" si="8"/>
        <v>full access</v>
      </c>
      <c r="Y136" s="3" t="str">
        <f t="shared" si="9"/>
        <v/>
      </c>
      <c r="Z136" s="3" t="str">
        <f t="shared" si="10"/>
        <v>full access</v>
      </c>
      <c r="AA136" s="3">
        <f t="shared" si="11"/>
        <v>0</v>
      </c>
    </row>
    <row r="137">
      <c r="A137" s="1" t="s">
        <v>1279</v>
      </c>
      <c r="B137" s="2" t="s">
        <v>43</v>
      </c>
      <c r="C137" s="2" t="s">
        <v>1288</v>
      </c>
      <c r="D137" s="2" t="s">
        <v>1289</v>
      </c>
      <c r="E137" s="2" t="s">
        <v>1290</v>
      </c>
      <c r="F137" s="2" t="s">
        <v>55</v>
      </c>
      <c r="G137" s="2" t="s">
        <v>1291</v>
      </c>
      <c r="H137" s="2" t="s">
        <v>55</v>
      </c>
      <c r="I137" s="1" t="s">
        <v>112</v>
      </c>
      <c r="J137" s="1" t="s">
        <v>112</v>
      </c>
      <c r="K137" s="1" t="s">
        <v>112</v>
      </c>
      <c r="L137" s="1" t="s">
        <v>112</v>
      </c>
      <c r="M137" s="2" t="s">
        <v>1286</v>
      </c>
      <c r="N137" s="2" t="s">
        <v>55</v>
      </c>
      <c r="O137" s="2" t="s">
        <v>1287</v>
      </c>
      <c r="P137" s="2" t="s">
        <v>55</v>
      </c>
      <c r="Q137" s="3" t="str">
        <f t="shared" si="1"/>
        <v/>
      </c>
      <c r="R137" s="3" t="str">
        <f t="shared" si="2"/>
        <v/>
      </c>
      <c r="S137" s="3" t="str">
        <f t="shared" si="3"/>
        <v/>
      </c>
      <c r="T137" s="3" t="str">
        <f t="shared" si="4"/>
        <v/>
      </c>
      <c r="U137" s="3">
        <f t="shared" si="12"/>
        <v>100</v>
      </c>
      <c r="V137" s="3">
        <f t="shared" si="6"/>
        <v>0</v>
      </c>
      <c r="W137" s="3">
        <f t="shared" si="7"/>
        <v>100</v>
      </c>
      <c r="X137" s="3" t="str">
        <f t="shared" si="8"/>
        <v/>
      </c>
      <c r="Y137" s="3" t="str">
        <f t="shared" si="9"/>
        <v/>
      </c>
      <c r="Z137" s="3" t="str">
        <f t="shared" si="10"/>
        <v/>
      </c>
      <c r="AA137" s="3">
        <f t="shared" si="11"/>
        <v>0</v>
      </c>
    </row>
    <row r="138">
      <c r="A138" s="1" t="s">
        <v>1292</v>
      </c>
      <c r="B138" s="2" t="s">
        <v>28</v>
      </c>
      <c r="C138" s="2" t="s">
        <v>1293</v>
      </c>
      <c r="D138" s="2" t="s">
        <v>1294</v>
      </c>
      <c r="E138" s="2" t="s">
        <v>1295</v>
      </c>
      <c r="F138" s="2" t="s">
        <v>1296</v>
      </c>
      <c r="G138" s="2" t="s">
        <v>1297</v>
      </c>
      <c r="H138" s="2" t="s">
        <v>1298</v>
      </c>
      <c r="I138" s="2" t="s">
        <v>1299</v>
      </c>
      <c r="J138" s="2" t="s">
        <v>1300</v>
      </c>
      <c r="K138" s="2" t="s">
        <v>1301</v>
      </c>
      <c r="L138" s="2" t="s">
        <v>1302</v>
      </c>
      <c r="M138" s="2" t="s">
        <v>1303</v>
      </c>
      <c r="N138" s="2" t="s">
        <v>1304</v>
      </c>
      <c r="O138" s="2" t="s">
        <v>1305</v>
      </c>
      <c r="P138" s="2" t="s">
        <v>1306</v>
      </c>
      <c r="Q138" s="3">
        <f t="shared" si="1"/>
        <v>5</v>
      </c>
      <c r="R138" s="3">
        <f t="shared" si="2"/>
        <v>0.809823146</v>
      </c>
      <c r="S138" s="3">
        <f t="shared" si="3"/>
        <v>0.868292768</v>
      </c>
      <c r="T138" s="3">
        <f t="shared" si="4"/>
        <v>0.361032584</v>
      </c>
      <c r="U138" s="3">
        <f t="shared" si="12"/>
        <v>67</v>
      </c>
      <c r="V138" s="3">
        <f t="shared" si="6"/>
        <v>58</v>
      </c>
      <c r="W138" s="3">
        <f t="shared" si="7"/>
        <v>95</v>
      </c>
      <c r="X138" s="3" t="str">
        <f t="shared" si="8"/>
        <v/>
      </c>
      <c r="Y138" s="3" t="str">
        <f t="shared" si="9"/>
        <v/>
      </c>
      <c r="Z138" s="3" t="str">
        <f t="shared" si="10"/>
        <v/>
      </c>
      <c r="AA138" s="3">
        <f t="shared" si="11"/>
        <v>0.507260184</v>
      </c>
    </row>
    <row r="139">
      <c r="A139" s="1" t="s">
        <v>1292</v>
      </c>
      <c r="B139" s="2" t="s">
        <v>43</v>
      </c>
      <c r="C139" s="2" t="s">
        <v>1307</v>
      </c>
      <c r="D139" s="2" t="s">
        <v>1308</v>
      </c>
      <c r="E139" s="2" t="s">
        <v>1309</v>
      </c>
      <c r="F139" s="2" t="s">
        <v>1310</v>
      </c>
      <c r="G139" s="2" t="s">
        <v>1311</v>
      </c>
      <c r="H139" s="2" t="s">
        <v>1312</v>
      </c>
      <c r="I139" s="2" t="s">
        <v>1313</v>
      </c>
      <c r="J139" s="2" t="s">
        <v>1314</v>
      </c>
      <c r="K139" s="2" t="s">
        <v>1315</v>
      </c>
      <c r="L139" s="2" t="s">
        <v>1316</v>
      </c>
      <c r="M139" s="2" t="s">
        <v>1317</v>
      </c>
      <c r="N139" s="2" t="s">
        <v>1318</v>
      </c>
      <c r="O139" s="2" t="s">
        <v>1319</v>
      </c>
      <c r="P139" s="2" t="s">
        <v>1320</v>
      </c>
      <c r="Q139" s="3" t="str">
        <f t="shared" si="1"/>
        <v/>
      </c>
      <c r="R139" s="3" t="str">
        <f t="shared" si="2"/>
        <v/>
      </c>
      <c r="S139" s="3" t="str">
        <f t="shared" si="3"/>
        <v/>
      </c>
      <c r="T139" s="3" t="str">
        <f t="shared" si="4"/>
        <v/>
      </c>
      <c r="U139" s="3">
        <f t="shared" si="12"/>
        <v>71</v>
      </c>
      <c r="V139" s="3">
        <f t="shared" si="6"/>
        <v>62</v>
      </c>
      <c r="W139" s="3">
        <f t="shared" si="7"/>
        <v>97</v>
      </c>
      <c r="X139" s="3" t="str">
        <f t="shared" si="8"/>
        <v/>
      </c>
      <c r="Y139" s="3" t="str">
        <f t="shared" si="9"/>
        <v/>
      </c>
      <c r="Z139" s="3" t="str">
        <f t="shared" si="10"/>
        <v/>
      </c>
      <c r="AA139" s="3">
        <f t="shared" si="11"/>
        <v>0</v>
      </c>
    </row>
    <row r="140">
      <c r="A140" s="1" t="s">
        <v>1321</v>
      </c>
      <c r="B140" s="2" t="s">
        <v>28</v>
      </c>
      <c r="C140" s="2" t="s">
        <v>1322</v>
      </c>
      <c r="D140" s="2" t="s">
        <v>1323</v>
      </c>
      <c r="E140" s="2" t="s">
        <v>1324</v>
      </c>
      <c r="F140" s="2" t="s">
        <v>1325</v>
      </c>
      <c r="G140" s="2" t="s">
        <v>1326</v>
      </c>
      <c r="H140" s="2" t="s">
        <v>1327</v>
      </c>
      <c r="I140" s="2" t="s">
        <v>1328</v>
      </c>
      <c r="J140" s="2" t="s">
        <v>1329</v>
      </c>
      <c r="K140" s="2" t="s">
        <v>1330</v>
      </c>
      <c r="L140" s="2" t="s">
        <v>1331</v>
      </c>
      <c r="M140" s="2" t="s">
        <v>1332</v>
      </c>
      <c r="N140" s="2" t="s">
        <v>1333</v>
      </c>
      <c r="O140" s="2" t="s">
        <v>1334</v>
      </c>
      <c r="P140" s="2" t="s">
        <v>1335</v>
      </c>
      <c r="Q140" s="3">
        <f t="shared" si="1"/>
        <v>5</v>
      </c>
      <c r="R140" s="3">
        <f t="shared" si="2"/>
        <v>1.509101108</v>
      </c>
      <c r="S140" s="3">
        <f t="shared" si="3"/>
        <v>1.515674352</v>
      </c>
      <c r="T140" s="3">
        <f t="shared" si="4"/>
        <v>0.450730324</v>
      </c>
      <c r="U140" s="3">
        <f t="shared" si="12"/>
        <v>42</v>
      </c>
      <c r="V140" s="3">
        <f t="shared" si="6"/>
        <v>32</v>
      </c>
      <c r="W140" s="3">
        <f t="shared" si="7"/>
        <v>82</v>
      </c>
      <c r="X140" s="3" t="str">
        <f t="shared" si="8"/>
        <v/>
      </c>
      <c r="Y140" s="3" t="str">
        <f t="shared" si="9"/>
        <v/>
      </c>
      <c r="Z140" s="3" t="str">
        <f t="shared" si="10"/>
        <v/>
      </c>
      <c r="AA140" s="3">
        <f t="shared" si="11"/>
        <v>1.064944028</v>
      </c>
    </row>
    <row r="141">
      <c r="A141" s="1" t="s">
        <v>1321</v>
      </c>
      <c r="B141" s="2" t="s">
        <v>43</v>
      </c>
      <c r="C141" s="2" t="s">
        <v>1336</v>
      </c>
      <c r="D141" s="2" t="s">
        <v>1337</v>
      </c>
      <c r="E141" s="2" t="s">
        <v>1338</v>
      </c>
      <c r="F141" s="2" t="s">
        <v>1339</v>
      </c>
      <c r="G141" s="2" t="s">
        <v>1340</v>
      </c>
      <c r="H141" s="2" t="s">
        <v>1341</v>
      </c>
      <c r="I141" s="2" t="s">
        <v>1342</v>
      </c>
      <c r="J141" s="2" t="s">
        <v>1343</v>
      </c>
      <c r="K141" s="2" t="s">
        <v>1344</v>
      </c>
      <c r="L141" s="2" t="s">
        <v>1345</v>
      </c>
      <c r="M141" s="2" t="s">
        <v>1346</v>
      </c>
      <c r="N141" s="2" t="s">
        <v>1347</v>
      </c>
      <c r="O141" s="2" t="s">
        <v>1348</v>
      </c>
      <c r="P141" s="2" t="s">
        <v>1349</v>
      </c>
      <c r="Q141" s="3" t="str">
        <f t="shared" si="1"/>
        <v/>
      </c>
      <c r="R141" s="3" t="str">
        <f t="shared" si="2"/>
        <v/>
      </c>
      <c r="S141" s="3" t="str">
        <f t="shared" si="3"/>
        <v/>
      </c>
      <c r="T141" s="3" t="str">
        <f t="shared" si="4"/>
        <v/>
      </c>
      <c r="U141" s="3">
        <f t="shared" si="12"/>
        <v>50</v>
      </c>
      <c r="V141" s="3">
        <f t="shared" si="6"/>
        <v>40</v>
      </c>
      <c r="W141" s="3">
        <f t="shared" si="7"/>
        <v>84</v>
      </c>
      <c r="X141" s="3" t="str">
        <f t="shared" si="8"/>
        <v/>
      </c>
      <c r="Y141" s="3" t="str">
        <f t="shared" si="9"/>
        <v/>
      </c>
      <c r="Z141" s="3" t="str">
        <f t="shared" si="10"/>
        <v/>
      </c>
      <c r="AA141" s="3">
        <f t="shared" si="11"/>
        <v>0</v>
      </c>
    </row>
    <row r="142">
      <c r="A142" s="1" t="s">
        <v>1350</v>
      </c>
      <c r="B142" s="2" t="s">
        <v>28</v>
      </c>
      <c r="C142" s="2" t="s">
        <v>1351</v>
      </c>
      <c r="D142" s="2" t="s">
        <v>1352</v>
      </c>
      <c r="E142" s="2" t="s">
        <v>54</v>
      </c>
      <c r="F142" s="2" t="s">
        <v>55</v>
      </c>
      <c r="G142" s="2" t="s">
        <v>55</v>
      </c>
      <c r="H142" s="2" t="s">
        <v>55</v>
      </c>
      <c r="I142" s="1" t="s">
        <v>112</v>
      </c>
      <c r="J142" s="1" t="s">
        <v>112</v>
      </c>
      <c r="K142" s="1" t="s">
        <v>112</v>
      </c>
      <c r="L142" s="1" t="s">
        <v>112</v>
      </c>
      <c r="M142" s="1" t="s">
        <v>112</v>
      </c>
      <c r="N142" s="1" t="s">
        <v>112</v>
      </c>
      <c r="O142" s="1" t="s">
        <v>112</v>
      </c>
      <c r="P142" s="1" t="s">
        <v>112</v>
      </c>
      <c r="Q142" s="3">
        <f t="shared" si="1"/>
        <v>5</v>
      </c>
      <c r="R142" s="3">
        <f t="shared" si="2"/>
        <v>0</v>
      </c>
      <c r="S142" s="3" t="str">
        <f t="shared" si="3"/>
        <v/>
      </c>
      <c r="T142" s="3" t="str">
        <f t="shared" si="4"/>
        <v/>
      </c>
      <c r="U142" s="3">
        <f t="shared" si="12"/>
        <v>100</v>
      </c>
      <c r="V142" s="3">
        <f t="shared" si="6"/>
        <v>0</v>
      </c>
      <c r="W142" s="3">
        <f t="shared" si="7"/>
        <v>0</v>
      </c>
      <c r="X142" s="3" t="str">
        <f t="shared" si="8"/>
        <v>full access</v>
      </c>
      <c r="Y142" s="3" t="str">
        <f t="shared" si="9"/>
        <v/>
      </c>
      <c r="Z142" s="3" t="str">
        <f t="shared" si="10"/>
        <v/>
      </c>
      <c r="AA142" s="3">
        <f t="shared" si="11"/>
        <v>0</v>
      </c>
    </row>
    <row r="143">
      <c r="A143" s="1" t="s">
        <v>1350</v>
      </c>
      <c r="B143" s="2" t="s">
        <v>43</v>
      </c>
      <c r="C143" s="2" t="s">
        <v>1353</v>
      </c>
      <c r="D143" s="2" t="s">
        <v>1354</v>
      </c>
      <c r="E143" s="2" t="s">
        <v>54</v>
      </c>
      <c r="F143" s="2" t="s">
        <v>55</v>
      </c>
      <c r="G143" s="2" t="s">
        <v>55</v>
      </c>
      <c r="H143" s="2" t="s">
        <v>55</v>
      </c>
      <c r="I143" s="1" t="s">
        <v>112</v>
      </c>
      <c r="J143" s="1" t="s">
        <v>112</v>
      </c>
      <c r="K143" s="1" t="s">
        <v>112</v>
      </c>
      <c r="L143" s="1" t="s">
        <v>112</v>
      </c>
      <c r="M143" s="1" t="s">
        <v>112</v>
      </c>
      <c r="N143" s="1" t="s">
        <v>112</v>
      </c>
      <c r="O143" s="1" t="s">
        <v>112</v>
      </c>
      <c r="P143" s="1" t="s">
        <v>112</v>
      </c>
      <c r="Q143" s="3" t="str">
        <f t="shared" si="1"/>
        <v/>
      </c>
      <c r="R143" s="3" t="str">
        <f t="shared" si="2"/>
        <v/>
      </c>
      <c r="S143" s="3" t="str">
        <f t="shared" si="3"/>
        <v/>
      </c>
      <c r="T143" s="3" t="str">
        <f t="shared" si="4"/>
        <v/>
      </c>
      <c r="U143" s="3">
        <f t="shared" si="12"/>
        <v>100</v>
      </c>
      <c r="V143" s="3">
        <f t="shared" si="6"/>
        <v>0</v>
      </c>
      <c r="W143" s="3">
        <f t="shared" si="7"/>
        <v>0</v>
      </c>
      <c r="X143" s="3" t="str">
        <f t="shared" si="8"/>
        <v/>
      </c>
      <c r="Y143" s="3" t="str">
        <f t="shared" si="9"/>
        <v/>
      </c>
      <c r="Z143" s="3" t="str">
        <f t="shared" si="10"/>
        <v/>
      </c>
      <c r="AA143" s="3">
        <f t="shared" si="11"/>
        <v>0</v>
      </c>
    </row>
    <row r="144">
      <c r="A144" s="1" t="s">
        <v>1355</v>
      </c>
      <c r="B144" s="2" t="s">
        <v>28</v>
      </c>
      <c r="C144" s="2" t="s">
        <v>1356</v>
      </c>
      <c r="D144" s="2" t="s">
        <v>1357</v>
      </c>
      <c r="E144" s="2" t="s">
        <v>1358</v>
      </c>
      <c r="F144" s="2" t="s">
        <v>55</v>
      </c>
      <c r="G144" s="2" t="s">
        <v>1359</v>
      </c>
      <c r="H144" s="2" t="s">
        <v>55</v>
      </c>
      <c r="I144" s="2" t="s">
        <v>1360</v>
      </c>
      <c r="J144" s="2" t="s">
        <v>55</v>
      </c>
      <c r="K144" s="2" t="s">
        <v>1361</v>
      </c>
      <c r="L144" s="2" t="s">
        <v>55</v>
      </c>
      <c r="M144" s="2" t="s">
        <v>54</v>
      </c>
      <c r="N144" s="2" t="s">
        <v>55</v>
      </c>
      <c r="O144" s="2" t="s">
        <v>55</v>
      </c>
      <c r="P144" s="2" t="s">
        <v>55</v>
      </c>
      <c r="Q144" s="3">
        <f t="shared" si="1"/>
        <v>5</v>
      </c>
      <c r="R144" s="3">
        <f t="shared" si="2"/>
        <v>0.097784148</v>
      </c>
      <c r="S144" s="3">
        <f t="shared" si="3"/>
        <v>0</v>
      </c>
      <c r="T144" s="3">
        <f t="shared" si="4"/>
        <v>0</v>
      </c>
      <c r="U144" s="3">
        <f t="shared" si="12"/>
        <v>95</v>
      </c>
      <c r="V144" s="3">
        <f t="shared" si="6"/>
        <v>78</v>
      </c>
      <c r="W144" s="3">
        <f t="shared" si="7"/>
        <v>100</v>
      </c>
      <c r="X144" s="3" t="str">
        <f t="shared" si="8"/>
        <v/>
      </c>
      <c r="Y144" s="3" t="str">
        <f t="shared" si="9"/>
        <v/>
      </c>
      <c r="Z144" s="3" t="str">
        <f t="shared" si="10"/>
        <v>full access</v>
      </c>
      <c r="AA144" s="3">
        <f t="shared" si="11"/>
        <v>0</v>
      </c>
    </row>
    <row r="145">
      <c r="A145" s="1" t="s">
        <v>1355</v>
      </c>
      <c r="B145" s="2" t="s">
        <v>43</v>
      </c>
      <c r="C145" s="2" t="s">
        <v>1362</v>
      </c>
      <c r="D145" s="2" t="s">
        <v>1363</v>
      </c>
      <c r="E145" s="2" t="s">
        <v>1364</v>
      </c>
      <c r="F145" s="2" t="s">
        <v>55</v>
      </c>
      <c r="G145" s="2" t="s">
        <v>1365</v>
      </c>
      <c r="H145" s="2" t="s">
        <v>55</v>
      </c>
      <c r="I145" s="2" t="s">
        <v>1360</v>
      </c>
      <c r="J145" s="2" t="s">
        <v>55</v>
      </c>
      <c r="K145" s="2" t="s">
        <v>1361</v>
      </c>
      <c r="L145" s="2" t="s">
        <v>55</v>
      </c>
      <c r="M145" s="2" t="s">
        <v>54</v>
      </c>
      <c r="N145" s="2" t="s">
        <v>55</v>
      </c>
      <c r="O145" s="2" t="s">
        <v>55</v>
      </c>
      <c r="P145" s="2" t="s">
        <v>55</v>
      </c>
      <c r="Q145" s="3" t="str">
        <f t="shared" si="1"/>
        <v/>
      </c>
      <c r="R145" s="3" t="str">
        <f t="shared" si="2"/>
        <v/>
      </c>
      <c r="S145" s="3" t="str">
        <f t="shared" si="3"/>
        <v/>
      </c>
      <c r="T145" s="3" t="str">
        <f t="shared" si="4"/>
        <v/>
      </c>
      <c r="U145" s="3">
        <f t="shared" si="12"/>
        <v>95</v>
      </c>
      <c r="V145" s="3">
        <f t="shared" si="6"/>
        <v>78</v>
      </c>
      <c r="W145" s="3">
        <f t="shared" si="7"/>
        <v>100</v>
      </c>
      <c r="X145" s="3" t="str">
        <f t="shared" si="8"/>
        <v/>
      </c>
      <c r="Y145" s="3" t="str">
        <f t="shared" si="9"/>
        <v/>
      </c>
      <c r="Z145" s="3" t="str">
        <f t="shared" si="10"/>
        <v/>
      </c>
      <c r="AA145" s="3">
        <f t="shared" si="11"/>
        <v>0</v>
      </c>
    </row>
    <row r="146">
      <c r="A146" s="1" t="s">
        <v>1366</v>
      </c>
      <c r="B146" s="2" t="s">
        <v>28</v>
      </c>
      <c r="C146" s="2" t="s">
        <v>1367</v>
      </c>
      <c r="D146" s="2" t="s">
        <v>1368</v>
      </c>
      <c r="E146" s="2" t="s">
        <v>1369</v>
      </c>
      <c r="F146" s="2" t="s">
        <v>55</v>
      </c>
      <c r="G146" s="2" t="s">
        <v>1370</v>
      </c>
      <c r="H146" s="2" t="s">
        <v>1371</v>
      </c>
      <c r="I146" s="2" t="s">
        <v>1372</v>
      </c>
      <c r="J146" s="2" t="s">
        <v>55</v>
      </c>
      <c r="K146" s="2" t="s">
        <v>1373</v>
      </c>
      <c r="L146" s="2" t="s">
        <v>1374</v>
      </c>
      <c r="M146" s="2" t="s">
        <v>1375</v>
      </c>
      <c r="N146" s="2" t="s">
        <v>55</v>
      </c>
      <c r="O146" s="2" t="s">
        <v>1376</v>
      </c>
      <c r="P146" s="2" t="s">
        <v>1377</v>
      </c>
      <c r="Q146" s="3">
        <f t="shared" si="1"/>
        <v>5</v>
      </c>
      <c r="R146" s="3">
        <f t="shared" si="2"/>
        <v>0.007701314</v>
      </c>
      <c r="S146" s="3">
        <f t="shared" si="3"/>
        <v>-0.058100668</v>
      </c>
      <c r="T146" s="3">
        <f t="shared" si="4"/>
        <v>-0.021760122</v>
      </c>
      <c r="U146" s="3">
        <f t="shared" si="12"/>
        <v>94</v>
      </c>
      <c r="V146" s="3">
        <f t="shared" si="6"/>
        <v>89</v>
      </c>
      <c r="W146" s="3">
        <f t="shared" si="7"/>
        <v>98</v>
      </c>
      <c r="X146" s="3" t="str">
        <f t="shared" si="8"/>
        <v/>
      </c>
      <c r="Y146" s="3" t="str">
        <f t="shared" si="9"/>
        <v/>
      </c>
      <c r="Z146" s="3" t="str">
        <f t="shared" si="10"/>
        <v/>
      </c>
      <c r="AA146" s="3">
        <f t="shared" si="11"/>
        <v>-0.036340546</v>
      </c>
    </row>
    <row r="147">
      <c r="A147" s="1" t="s">
        <v>1366</v>
      </c>
      <c r="B147" s="2" t="s">
        <v>43</v>
      </c>
      <c r="C147" s="2" t="s">
        <v>1378</v>
      </c>
      <c r="D147" s="2" t="s">
        <v>1379</v>
      </c>
      <c r="E147" s="2" t="s">
        <v>1380</v>
      </c>
      <c r="F147" s="2" t="s">
        <v>55</v>
      </c>
      <c r="G147" s="2" t="s">
        <v>1381</v>
      </c>
      <c r="H147" s="2" t="s">
        <v>1382</v>
      </c>
      <c r="I147" s="2" t="s">
        <v>1383</v>
      </c>
      <c r="J147" s="2" t="s">
        <v>55</v>
      </c>
      <c r="K147" s="2" t="s">
        <v>1384</v>
      </c>
      <c r="L147" s="2" t="s">
        <v>1385</v>
      </c>
      <c r="M147" s="2" t="s">
        <v>1386</v>
      </c>
      <c r="N147" s="2" t="s">
        <v>55</v>
      </c>
      <c r="O147" s="2" t="s">
        <v>1387</v>
      </c>
      <c r="P147" s="2" t="s">
        <v>1388</v>
      </c>
      <c r="Q147" s="3" t="str">
        <f t="shared" si="1"/>
        <v/>
      </c>
      <c r="R147" s="3" t="str">
        <f t="shared" si="2"/>
        <v/>
      </c>
      <c r="S147" s="3" t="str">
        <f t="shared" si="3"/>
        <v/>
      </c>
      <c r="T147" s="3" t="str">
        <f t="shared" si="4"/>
        <v/>
      </c>
      <c r="U147" s="3">
        <f t="shared" si="12"/>
        <v>94</v>
      </c>
      <c r="V147" s="3">
        <f t="shared" si="6"/>
        <v>89</v>
      </c>
      <c r="W147" s="3">
        <f t="shared" si="7"/>
        <v>98</v>
      </c>
      <c r="X147" s="3" t="str">
        <f t="shared" si="8"/>
        <v/>
      </c>
      <c r="Y147" s="3" t="str">
        <f t="shared" si="9"/>
        <v/>
      </c>
      <c r="Z147" s="3" t="str">
        <f t="shared" si="10"/>
        <v/>
      </c>
      <c r="AA147" s="3">
        <f t="shared" si="11"/>
        <v>0</v>
      </c>
    </row>
    <row r="148">
      <c r="A148" s="1" t="s">
        <v>1389</v>
      </c>
      <c r="B148" s="2" t="s">
        <v>28</v>
      </c>
      <c r="C148" s="2" t="s">
        <v>1390</v>
      </c>
      <c r="D148" s="2" t="s">
        <v>1391</v>
      </c>
      <c r="E148" s="2" t="s">
        <v>1392</v>
      </c>
      <c r="F148" s="2" t="s">
        <v>55</v>
      </c>
      <c r="G148" s="2" t="s">
        <v>1393</v>
      </c>
      <c r="H148" s="2" t="s">
        <v>55</v>
      </c>
      <c r="I148" s="2" t="s">
        <v>54</v>
      </c>
      <c r="J148" s="2" t="s">
        <v>55</v>
      </c>
      <c r="K148" s="2" t="s">
        <v>55</v>
      </c>
      <c r="L148" s="2" t="s">
        <v>55</v>
      </c>
      <c r="M148" s="2" t="s">
        <v>54</v>
      </c>
      <c r="N148" s="2" t="s">
        <v>55</v>
      </c>
      <c r="O148" s="2" t="s">
        <v>55</v>
      </c>
      <c r="P148" s="2" t="s">
        <v>55</v>
      </c>
      <c r="Q148" s="3">
        <f t="shared" si="1"/>
        <v>5</v>
      </c>
      <c r="R148" s="3">
        <f t="shared" si="2"/>
        <v>0.000001328000002</v>
      </c>
      <c r="S148" s="3">
        <f t="shared" si="3"/>
        <v>0</v>
      </c>
      <c r="T148" s="3">
        <f t="shared" si="4"/>
        <v>0</v>
      </c>
      <c r="U148" s="3">
        <f t="shared" si="12"/>
        <v>100</v>
      </c>
      <c r="V148" s="3">
        <f t="shared" si="6"/>
        <v>100</v>
      </c>
      <c r="W148" s="3">
        <f t="shared" si="7"/>
        <v>100</v>
      </c>
      <c r="X148" s="3" t="str">
        <f t="shared" si="8"/>
        <v>full access</v>
      </c>
      <c r="Y148" s="3" t="str">
        <f t="shared" si="9"/>
        <v>full access</v>
      </c>
      <c r="Z148" s="3" t="str">
        <f t="shared" si="10"/>
        <v>full access</v>
      </c>
      <c r="AA148" s="3">
        <f t="shared" si="11"/>
        <v>0</v>
      </c>
    </row>
    <row r="149">
      <c r="A149" s="1" t="s">
        <v>1389</v>
      </c>
      <c r="B149" s="2" t="s">
        <v>43</v>
      </c>
      <c r="C149" s="2" t="s">
        <v>1394</v>
      </c>
      <c r="D149" s="2" t="s">
        <v>1395</v>
      </c>
      <c r="E149" s="2" t="s">
        <v>1396</v>
      </c>
      <c r="F149" s="2" t="s">
        <v>55</v>
      </c>
      <c r="G149" s="2" t="s">
        <v>55</v>
      </c>
      <c r="H149" s="2" t="s">
        <v>55</v>
      </c>
      <c r="I149" s="2" t="s">
        <v>54</v>
      </c>
      <c r="J149" s="2" t="s">
        <v>55</v>
      </c>
      <c r="K149" s="2" t="s">
        <v>55</v>
      </c>
      <c r="L149" s="2" t="s">
        <v>55</v>
      </c>
      <c r="M149" s="2" t="s">
        <v>54</v>
      </c>
      <c r="N149" s="2" t="s">
        <v>55</v>
      </c>
      <c r="O149" s="2" t="s">
        <v>55</v>
      </c>
      <c r="P149" s="2" t="s">
        <v>55</v>
      </c>
      <c r="Q149" s="3" t="str">
        <f t="shared" si="1"/>
        <v/>
      </c>
      <c r="R149" s="3" t="str">
        <f t="shared" si="2"/>
        <v/>
      </c>
      <c r="S149" s="3" t="str">
        <f t="shared" si="3"/>
        <v/>
      </c>
      <c r="T149" s="3" t="str">
        <f t="shared" si="4"/>
        <v/>
      </c>
      <c r="U149" s="3">
        <f t="shared" si="12"/>
        <v>100</v>
      </c>
      <c r="V149" s="3">
        <f t="shared" si="6"/>
        <v>100</v>
      </c>
      <c r="W149" s="3">
        <f t="shared" si="7"/>
        <v>100</v>
      </c>
      <c r="X149" s="3" t="str">
        <f t="shared" si="8"/>
        <v/>
      </c>
      <c r="Y149" s="3" t="str">
        <f t="shared" si="9"/>
        <v/>
      </c>
      <c r="Z149" s="3" t="str">
        <f t="shared" si="10"/>
        <v/>
      </c>
      <c r="AA149" s="3">
        <f t="shared" si="11"/>
        <v>0</v>
      </c>
    </row>
    <row r="150">
      <c r="A150" s="1" t="s">
        <v>1397</v>
      </c>
      <c r="B150" s="2" t="s">
        <v>28</v>
      </c>
      <c r="C150" s="2" t="s">
        <v>1398</v>
      </c>
      <c r="D150" s="2" t="s">
        <v>1399</v>
      </c>
      <c r="E150" s="2" t="s">
        <v>54</v>
      </c>
      <c r="F150" s="2" t="s">
        <v>55</v>
      </c>
      <c r="G150" s="2" t="s">
        <v>55</v>
      </c>
      <c r="H150" s="2" t="s">
        <v>55</v>
      </c>
      <c r="I150" s="2" t="s">
        <v>54</v>
      </c>
      <c r="J150" s="2" t="s">
        <v>55</v>
      </c>
      <c r="K150" s="2" t="s">
        <v>55</v>
      </c>
      <c r="L150" s="2" t="s">
        <v>55</v>
      </c>
      <c r="M150" s="2" t="s">
        <v>54</v>
      </c>
      <c r="N150" s="2" t="s">
        <v>55</v>
      </c>
      <c r="O150" s="2" t="s">
        <v>55</v>
      </c>
      <c r="P150" s="2" t="s">
        <v>55</v>
      </c>
      <c r="Q150" s="3">
        <f t="shared" si="1"/>
        <v>5</v>
      </c>
      <c r="R150" s="3">
        <f t="shared" si="2"/>
        <v>-0.0000002999999992</v>
      </c>
      <c r="S150" s="3">
        <f t="shared" si="3"/>
        <v>0</v>
      </c>
      <c r="T150" s="3">
        <f t="shared" si="4"/>
        <v>0</v>
      </c>
      <c r="U150" s="3">
        <f t="shared" si="12"/>
        <v>100</v>
      </c>
      <c r="V150" s="3">
        <f t="shared" si="6"/>
        <v>100</v>
      </c>
      <c r="W150" s="3">
        <f t="shared" si="7"/>
        <v>100</v>
      </c>
      <c r="X150" s="3" t="str">
        <f t="shared" si="8"/>
        <v>full access</v>
      </c>
      <c r="Y150" s="3" t="str">
        <f t="shared" si="9"/>
        <v>full access</v>
      </c>
      <c r="Z150" s="3" t="str">
        <f t="shared" si="10"/>
        <v>full access</v>
      </c>
      <c r="AA150" s="3">
        <f t="shared" si="11"/>
        <v>0</v>
      </c>
    </row>
    <row r="151">
      <c r="A151" s="1" t="s">
        <v>1397</v>
      </c>
      <c r="B151" s="2" t="s">
        <v>43</v>
      </c>
      <c r="C151" s="2" t="s">
        <v>1400</v>
      </c>
      <c r="D151" s="2" t="s">
        <v>1401</v>
      </c>
      <c r="E151" s="2" t="s">
        <v>1402</v>
      </c>
      <c r="F151" s="2" t="s">
        <v>55</v>
      </c>
      <c r="G151" s="2" t="s">
        <v>1403</v>
      </c>
      <c r="H151" s="2" t="s">
        <v>55</v>
      </c>
      <c r="I151" s="2" t="s">
        <v>54</v>
      </c>
      <c r="J151" s="2" t="s">
        <v>55</v>
      </c>
      <c r="K151" s="2" t="s">
        <v>55</v>
      </c>
      <c r="L151" s="2" t="s">
        <v>55</v>
      </c>
      <c r="M151" s="2" t="s">
        <v>54</v>
      </c>
      <c r="N151" s="2" t="s">
        <v>55</v>
      </c>
      <c r="O151" s="2" t="s">
        <v>55</v>
      </c>
      <c r="P151" s="2" t="s">
        <v>55</v>
      </c>
      <c r="Q151" s="3" t="str">
        <f t="shared" si="1"/>
        <v/>
      </c>
      <c r="R151" s="3" t="str">
        <f t="shared" si="2"/>
        <v/>
      </c>
      <c r="S151" s="3" t="str">
        <f t="shared" si="3"/>
        <v/>
      </c>
      <c r="T151" s="3" t="str">
        <f t="shared" si="4"/>
        <v/>
      </c>
      <c r="U151" s="3">
        <f t="shared" si="12"/>
        <v>100</v>
      </c>
      <c r="V151" s="3">
        <f t="shared" si="6"/>
        <v>100</v>
      </c>
      <c r="W151" s="3">
        <f t="shared" si="7"/>
        <v>100</v>
      </c>
      <c r="X151" s="3" t="str">
        <f t="shared" si="8"/>
        <v/>
      </c>
      <c r="Y151" s="3" t="str">
        <f t="shared" si="9"/>
        <v/>
      </c>
      <c r="Z151" s="3" t="str">
        <f t="shared" si="10"/>
        <v/>
      </c>
      <c r="AA151" s="3">
        <f t="shared" si="11"/>
        <v>0</v>
      </c>
    </row>
    <row r="152">
      <c r="A152" s="1" t="s">
        <v>1404</v>
      </c>
      <c r="B152" s="2" t="s">
        <v>28</v>
      </c>
      <c r="C152" s="2" t="s">
        <v>1405</v>
      </c>
      <c r="D152" s="2" t="s">
        <v>1406</v>
      </c>
      <c r="E152" s="2" t="s">
        <v>1407</v>
      </c>
      <c r="F152" s="2" t="s">
        <v>55</v>
      </c>
      <c r="G152" s="2" t="s">
        <v>1408</v>
      </c>
      <c r="H152" s="2" t="s">
        <v>55</v>
      </c>
      <c r="I152" s="1" t="s">
        <v>112</v>
      </c>
      <c r="J152" s="1" t="s">
        <v>112</v>
      </c>
      <c r="K152" s="1" t="s">
        <v>112</v>
      </c>
      <c r="L152" s="1" t="s">
        <v>112</v>
      </c>
      <c r="M152" s="1" t="s">
        <v>112</v>
      </c>
      <c r="N152" s="1" t="s">
        <v>112</v>
      </c>
      <c r="O152" s="1" t="s">
        <v>112</v>
      </c>
      <c r="P152" s="1" t="s">
        <v>112</v>
      </c>
      <c r="Q152" s="3">
        <f t="shared" si="1"/>
        <v>5</v>
      </c>
      <c r="R152" s="3">
        <f t="shared" si="2"/>
        <v>0.044031956</v>
      </c>
      <c r="S152" s="3" t="str">
        <f t="shared" si="3"/>
        <v/>
      </c>
      <c r="T152" s="3" t="str">
        <f t="shared" si="4"/>
        <v/>
      </c>
      <c r="U152" s="3">
        <f t="shared" si="12"/>
        <v>94</v>
      </c>
      <c r="V152" s="3">
        <f t="shared" si="6"/>
        <v>0</v>
      </c>
      <c r="W152" s="3">
        <f t="shared" si="7"/>
        <v>0</v>
      </c>
      <c r="X152" s="3" t="str">
        <f t="shared" si="8"/>
        <v/>
      </c>
      <c r="Y152" s="3" t="str">
        <f t="shared" si="9"/>
        <v/>
      </c>
      <c r="Z152" s="3" t="str">
        <f t="shared" si="10"/>
        <v/>
      </c>
      <c r="AA152" s="3">
        <f t="shared" si="11"/>
        <v>0</v>
      </c>
    </row>
    <row r="153">
      <c r="A153" s="1" t="s">
        <v>1404</v>
      </c>
      <c r="B153" s="2" t="s">
        <v>43</v>
      </c>
      <c r="C153" s="2" t="s">
        <v>1409</v>
      </c>
      <c r="D153" s="2" t="s">
        <v>1410</v>
      </c>
      <c r="E153" s="2" t="s">
        <v>1411</v>
      </c>
      <c r="F153" s="2" t="s">
        <v>55</v>
      </c>
      <c r="G153" s="2" t="s">
        <v>1412</v>
      </c>
      <c r="H153" s="2" t="s">
        <v>55</v>
      </c>
      <c r="I153" s="1" t="s">
        <v>112</v>
      </c>
      <c r="J153" s="1" t="s">
        <v>112</v>
      </c>
      <c r="K153" s="1" t="s">
        <v>112</v>
      </c>
      <c r="L153" s="1" t="s">
        <v>112</v>
      </c>
      <c r="M153" s="1" t="s">
        <v>112</v>
      </c>
      <c r="N153" s="1" t="s">
        <v>112</v>
      </c>
      <c r="O153" s="1" t="s">
        <v>112</v>
      </c>
      <c r="P153" s="1" t="s">
        <v>112</v>
      </c>
      <c r="Q153" s="3" t="str">
        <f t="shared" si="1"/>
        <v/>
      </c>
      <c r="R153" s="3" t="str">
        <f t="shared" si="2"/>
        <v/>
      </c>
      <c r="S153" s="3" t="str">
        <f t="shared" si="3"/>
        <v/>
      </c>
      <c r="T153" s="3" t="str">
        <f t="shared" si="4"/>
        <v/>
      </c>
      <c r="U153" s="3">
        <f t="shared" si="12"/>
        <v>94</v>
      </c>
      <c r="V153" s="3">
        <f t="shared" si="6"/>
        <v>0</v>
      </c>
      <c r="W153" s="3">
        <f t="shared" si="7"/>
        <v>0</v>
      </c>
      <c r="X153" s="3" t="str">
        <f t="shared" si="8"/>
        <v/>
      </c>
      <c r="Y153" s="3" t="str">
        <f t="shared" si="9"/>
        <v/>
      </c>
      <c r="Z153" s="3" t="str">
        <f t="shared" si="10"/>
        <v/>
      </c>
      <c r="AA153" s="3">
        <f t="shared" si="11"/>
        <v>0</v>
      </c>
    </row>
    <row r="154">
      <c r="A154" s="1" t="s">
        <v>1413</v>
      </c>
      <c r="B154" s="2" t="s">
        <v>28</v>
      </c>
      <c r="C154" s="2" t="s">
        <v>1414</v>
      </c>
      <c r="D154" s="2" t="s">
        <v>1415</v>
      </c>
      <c r="E154" s="2" t="s">
        <v>54</v>
      </c>
      <c r="F154" s="2" t="s">
        <v>55</v>
      </c>
      <c r="G154" s="2" t="s">
        <v>55</v>
      </c>
      <c r="H154" s="2" t="s">
        <v>55</v>
      </c>
      <c r="I154" s="1" t="s">
        <v>112</v>
      </c>
      <c r="J154" s="1" t="s">
        <v>112</v>
      </c>
      <c r="K154" s="1" t="s">
        <v>112</v>
      </c>
      <c r="L154" s="1" t="s">
        <v>112</v>
      </c>
      <c r="M154" s="1" t="s">
        <v>112</v>
      </c>
      <c r="N154" s="1" t="s">
        <v>112</v>
      </c>
      <c r="O154" s="1" t="s">
        <v>112</v>
      </c>
      <c r="P154" s="1" t="s">
        <v>112</v>
      </c>
      <c r="Q154" s="3">
        <f t="shared" si="1"/>
        <v>5</v>
      </c>
      <c r="R154" s="3">
        <f t="shared" si="2"/>
        <v>0</v>
      </c>
      <c r="S154" s="3" t="str">
        <f t="shared" si="3"/>
        <v/>
      </c>
      <c r="T154" s="3" t="str">
        <f t="shared" si="4"/>
        <v/>
      </c>
      <c r="U154" s="3">
        <f t="shared" si="12"/>
        <v>100</v>
      </c>
      <c r="V154" s="3">
        <f t="shared" si="6"/>
        <v>0</v>
      </c>
      <c r="W154" s="3">
        <f t="shared" si="7"/>
        <v>0</v>
      </c>
      <c r="X154" s="3" t="str">
        <f t="shared" si="8"/>
        <v>full access</v>
      </c>
      <c r="Y154" s="3" t="str">
        <f t="shared" si="9"/>
        <v/>
      </c>
      <c r="Z154" s="3" t="str">
        <f t="shared" si="10"/>
        <v/>
      </c>
      <c r="AA154" s="3">
        <f t="shared" si="11"/>
        <v>0</v>
      </c>
    </row>
    <row r="155">
      <c r="A155" s="1" t="s">
        <v>1413</v>
      </c>
      <c r="B155" s="2" t="s">
        <v>43</v>
      </c>
      <c r="C155" s="2" t="s">
        <v>1416</v>
      </c>
      <c r="D155" s="2" t="s">
        <v>1417</v>
      </c>
      <c r="E155" s="2" t="s">
        <v>54</v>
      </c>
      <c r="F155" s="2" t="s">
        <v>55</v>
      </c>
      <c r="G155" s="2" t="s">
        <v>55</v>
      </c>
      <c r="H155" s="2" t="s">
        <v>55</v>
      </c>
      <c r="I155" s="1" t="s">
        <v>112</v>
      </c>
      <c r="J155" s="1" t="s">
        <v>112</v>
      </c>
      <c r="K155" s="1" t="s">
        <v>112</v>
      </c>
      <c r="L155" s="1" t="s">
        <v>112</v>
      </c>
      <c r="M155" s="1" t="s">
        <v>112</v>
      </c>
      <c r="N155" s="1" t="s">
        <v>112</v>
      </c>
      <c r="O155" s="1" t="s">
        <v>112</v>
      </c>
      <c r="P155" s="1" t="s">
        <v>112</v>
      </c>
      <c r="Q155" s="3" t="str">
        <f t="shared" si="1"/>
        <v/>
      </c>
      <c r="R155" s="3" t="str">
        <f t="shared" si="2"/>
        <v/>
      </c>
      <c r="S155" s="3" t="str">
        <f t="shared" si="3"/>
        <v/>
      </c>
      <c r="T155" s="3" t="str">
        <f t="shared" si="4"/>
        <v/>
      </c>
      <c r="U155" s="3">
        <f t="shared" si="12"/>
        <v>100</v>
      </c>
      <c r="V155" s="3">
        <f t="shared" si="6"/>
        <v>0</v>
      </c>
      <c r="W155" s="3">
        <f t="shared" si="7"/>
        <v>0</v>
      </c>
      <c r="X155" s="3" t="str">
        <f t="shared" si="8"/>
        <v/>
      </c>
      <c r="Y155" s="3" t="str">
        <f t="shared" si="9"/>
        <v/>
      </c>
      <c r="Z155" s="3" t="str">
        <f t="shared" si="10"/>
        <v/>
      </c>
      <c r="AA155" s="3">
        <f t="shared" si="11"/>
        <v>0</v>
      </c>
    </row>
    <row r="156">
      <c r="A156" s="1" t="s">
        <v>1418</v>
      </c>
      <c r="B156" s="2" t="s">
        <v>28</v>
      </c>
      <c r="C156" s="2" t="s">
        <v>1419</v>
      </c>
      <c r="D156" s="2" t="s">
        <v>1420</v>
      </c>
      <c r="E156" s="2" t="s">
        <v>1421</v>
      </c>
      <c r="F156" s="2" t="s">
        <v>1422</v>
      </c>
      <c r="G156" s="2" t="s">
        <v>1423</v>
      </c>
      <c r="H156" s="2" t="s">
        <v>1424</v>
      </c>
      <c r="I156" s="2" t="s">
        <v>1425</v>
      </c>
      <c r="J156" s="2" t="s">
        <v>1426</v>
      </c>
      <c r="K156" s="2" t="s">
        <v>1427</v>
      </c>
      <c r="L156" s="2" t="s">
        <v>1428</v>
      </c>
      <c r="M156" s="2" t="s">
        <v>1429</v>
      </c>
      <c r="N156" s="2" t="s">
        <v>1430</v>
      </c>
      <c r="O156" s="2" t="s">
        <v>1431</v>
      </c>
      <c r="P156" s="2" t="s">
        <v>1432</v>
      </c>
      <c r="Q156" s="3">
        <f t="shared" si="1"/>
        <v>5</v>
      </c>
      <c r="R156" s="3">
        <f t="shared" si="2"/>
        <v>0.29668881</v>
      </c>
      <c r="S156" s="3">
        <f t="shared" si="3"/>
        <v>0.27117117</v>
      </c>
      <c r="T156" s="3">
        <f t="shared" si="4"/>
        <v>0.09824146</v>
      </c>
      <c r="U156" s="3">
        <f t="shared" si="12"/>
        <v>84</v>
      </c>
      <c r="V156" s="3">
        <f t="shared" si="6"/>
        <v>43</v>
      </c>
      <c r="W156" s="3">
        <f t="shared" si="7"/>
        <v>89</v>
      </c>
      <c r="X156" s="3" t="str">
        <f t="shared" si="8"/>
        <v/>
      </c>
      <c r="Y156" s="3" t="str">
        <f t="shared" si="9"/>
        <v/>
      </c>
      <c r="Z156" s="3" t="str">
        <f t="shared" si="10"/>
        <v/>
      </c>
      <c r="AA156" s="3">
        <f t="shared" si="11"/>
        <v>0.17292971</v>
      </c>
    </row>
    <row r="157">
      <c r="A157" s="1" t="s">
        <v>1418</v>
      </c>
      <c r="B157" s="2" t="s">
        <v>43</v>
      </c>
      <c r="C157" s="2" t="s">
        <v>1433</v>
      </c>
      <c r="D157" s="2" t="s">
        <v>1434</v>
      </c>
      <c r="E157" s="2" t="s">
        <v>1435</v>
      </c>
      <c r="F157" s="2" t="s">
        <v>1436</v>
      </c>
      <c r="G157" s="2" t="s">
        <v>1437</v>
      </c>
      <c r="H157" s="1" t="s">
        <v>112</v>
      </c>
      <c r="I157" s="2" t="s">
        <v>1438</v>
      </c>
      <c r="J157" s="2" t="s">
        <v>1439</v>
      </c>
      <c r="K157" s="2" t="s">
        <v>1440</v>
      </c>
      <c r="L157" s="1" t="s">
        <v>112</v>
      </c>
      <c r="M157" s="2" t="s">
        <v>1441</v>
      </c>
      <c r="N157" s="2" t="s">
        <v>1442</v>
      </c>
      <c r="O157" s="2" t="s">
        <v>1443</v>
      </c>
      <c r="P157" s="1" t="s">
        <v>112</v>
      </c>
      <c r="Q157" s="3" t="str">
        <f t="shared" si="1"/>
        <v/>
      </c>
      <c r="R157" s="3" t="str">
        <f t="shared" si="2"/>
        <v/>
      </c>
      <c r="S157" s="3" t="str">
        <f t="shared" si="3"/>
        <v/>
      </c>
      <c r="T157" s="3" t="str">
        <f t="shared" si="4"/>
        <v/>
      </c>
      <c r="U157" s="3">
        <f t="shared" si="12"/>
        <v>85</v>
      </c>
      <c r="V157" s="3">
        <f t="shared" si="6"/>
        <v>45</v>
      </c>
      <c r="W157" s="3">
        <f t="shared" si="7"/>
        <v>90</v>
      </c>
      <c r="X157" s="3" t="str">
        <f t="shared" si="8"/>
        <v/>
      </c>
      <c r="Y157" s="3" t="str">
        <f t="shared" si="9"/>
        <v/>
      </c>
      <c r="Z157" s="3" t="str">
        <f t="shared" si="10"/>
        <v/>
      </c>
      <c r="AA157" s="3">
        <f t="shared" si="11"/>
        <v>0</v>
      </c>
    </row>
    <row r="158">
      <c r="A158" s="1" t="s">
        <v>1444</v>
      </c>
      <c r="B158" s="2" t="s">
        <v>28</v>
      </c>
      <c r="C158" s="2" t="s">
        <v>1445</v>
      </c>
      <c r="D158" s="2" t="s">
        <v>1446</v>
      </c>
      <c r="E158" s="2" t="s">
        <v>1447</v>
      </c>
      <c r="F158" s="2" t="s">
        <v>1448</v>
      </c>
      <c r="G158" s="2" t="s">
        <v>1449</v>
      </c>
      <c r="H158" s="2" t="s">
        <v>1450</v>
      </c>
      <c r="I158" s="2" t="s">
        <v>1451</v>
      </c>
      <c r="J158" s="2" t="s">
        <v>1452</v>
      </c>
      <c r="K158" s="2" t="s">
        <v>1453</v>
      </c>
      <c r="L158" s="2" t="s">
        <v>1454</v>
      </c>
      <c r="M158" s="2" t="s">
        <v>1455</v>
      </c>
      <c r="N158" s="2" t="s">
        <v>1456</v>
      </c>
      <c r="O158" s="2" t="s">
        <v>1457</v>
      </c>
      <c r="P158" s="2" t="s">
        <v>1458</v>
      </c>
      <c r="Q158" s="3">
        <f t="shared" si="1"/>
        <v>5</v>
      </c>
      <c r="R158" s="3">
        <f t="shared" si="2"/>
        <v>0.346048128</v>
      </c>
      <c r="S158" s="3">
        <f t="shared" si="3"/>
        <v>0.186726128</v>
      </c>
      <c r="T158" s="3">
        <f t="shared" si="4"/>
        <v>0.243046602</v>
      </c>
      <c r="U158" s="3">
        <f t="shared" si="12"/>
        <v>79</v>
      </c>
      <c r="V158" s="3">
        <f t="shared" si="6"/>
        <v>68</v>
      </c>
      <c r="W158" s="3">
        <f t="shared" si="7"/>
        <v>87</v>
      </c>
      <c r="X158" s="3" t="str">
        <f t="shared" si="8"/>
        <v/>
      </c>
      <c r="Y158" s="3" t="str">
        <f t="shared" si="9"/>
        <v/>
      </c>
      <c r="Z158" s="3" t="str">
        <f t="shared" si="10"/>
        <v/>
      </c>
      <c r="AA158" s="3">
        <f t="shared" si="11"/>
        <v>-0.056320474</v>
      </c>
    </row>
    <row r="159">
      <c r="A159" s="1" t="s">
        <v>1444</v>
      </c>
      <c r="B159" s="2" t="s">
        <v>43</v>
      </c>
      <c r="C159" s="2" t="s">
        <v>1459</v>
      </c>
      <c r="D159" s="2" t="s">
        <v>1460</v>
      </c>
      <c r="E159" s="2" t="s">
        <v>1461</v>
      </c>
      <c r="F159" s="2" t="s">
        <v>1462</v>
      </c>
      <c r="G159" s="2" t="s">
        <v>1463</v>
      </c>
      <c r="H159" s="2" t="s">
        <v>1464</v>
      </c>
      <c r="I159" s="2" t="s">
        <v>1465</v>
      </c>
      <c r="J159" s="2" t="s">
        <v>1466</v>
      </c>
      <c r="K159" s="2" t="s">
        <v>1467</v>
      </c>
      <c r="L159" s="2" t="s">
        <v>1468</v>
      </c>
      <c r="M159" s="2" t="s">
        <v>1469</v>
      </c>
      <c r="N159" s="2" t="s">
        <v>1470</v>
      </c>
      <c r="O159" s="2" t="s">
        <v>1471</v>
      </c>
      <c r="P159" s="2" t="s">
        <v>1472</v>
      </c>
      <c r="Q159" s="3" t="str">
        <f t="shared" si="1"/>
        <v/>
      </c>
      <c r="R159" s="3" t="str">
        <f t="shared" si="2"/>
        <v/>
      </c>
      <c r="S159" s="3" t="str">
        <f t="shared" si="3"/>
        <v/>
      </c>
      <c r="T159" s="3" t="str">
        <f t="shared" si="4"/>
        <v/>
      </c>
      <c r="U159" s="3">
        <f t="shared" si="12"/>
        <v>81</v>
      </c>
      <c r="V159" s="3">
        <f t="shared" si="6"/>
        <v>69</v>
      </c>
      <c r="W159" s="3">
        <f t="shared" si="7"/>
        <v>88</v>
      </c>
      <c r="X159" s="3" t="str">
        <f t="shared" si="8"/>
        <v/>
      </c>
      <c r="Y159" s="3" t="str">
        <f t="shared" si="9"/>
        <v/>
      </c>
      <c r="Z159" s="3" t="str">
        <f t="shared" si="10"/>
        <v/>
      </c>
      <c r="AA159" s="3">
        <f t="shared" si="11"/>
        <v>0</v>
      </c>
    </row>
    <row r="160">
      <c r="A160" s="1" t="s">
        <v>1473</v>
      </c>
      <c r="B160" s="2" t="s">
        <v>28</v>
      </c>
      <c r="C160" s="2" t="s">
        <v>1474</v>
      </c>
      <c r="D160" s="2" t="s">
        <v>1475</v>
      </c>
      <c r="E160" s="2" t="s">
        <v>1476</v>
      </c>
      <c r="F160" s="2" t="s">
        <v>1477</v>
      </c>
      <c r="G160" s="2" t="s">
        <v>1478</v>
      </c>
      <c r="H160" s="2" t="s">
        <v>1479</v>
      </c>
      <c r="I160" s="2" t="s">
        <v>1480</v>
      </c>
      <c r="J160" s="2" t="s">
        <v>1481</v>
      </c>
      <c r="K160" s="2" t="s">
        <v>1482</v>
      </c>
      <c r="L160" s="2" t="s">
        <v>1483</v>
      </c>
      <c r="M160" s="2" t="s">
        <v>1484</v>
      </c>
      <c r="N160" s="2" t="s">
        <v>1485</v>
      </c>
      <c r="O160" s="2" t="s">
        <v>1486</v>
      </c>
      <c r="P160" s="2" t="s">
        <v>1487</v>
      </c>
      <c r="Q160" s="3">
        <f t="shared" si="1"/>
        <v>5</v>
      </c>
      <c r="R160" s="3">
        <f t="shared" si="2"/>
        <v>0.318682038</v>
      </c>
      <c r="S160" s="3">
        <f t="shared" si="3"/>
        <v>0.595346722</v>
      </c>
      <c r="T160" s="3">
        <f t="shared" si="4"/>
        <v>0.077637698</v>
      </c>
      <c r="U160" s="3">
        <f t="shared" si="12"/>
        <v>96</v>
      </c>
      <c r="V160" s="3">
        <f t="shared" si="6"/>
        <v>91</v>
      </c>
      <c r="W160" s="3">
        <f t="shared" si="7"/>
        <v>99</v>
      </c>
      <c r="X160" s="3" t="str">
        <f t="shared" si="8"/>
        <v/>
      </c>
      <c r="Y160" s="3" t="str">
        <f t="shared" si="9"/>
        <v/>
      </c>
      <c r="Z160" s="3" t="str">
        <f t="shared" si="10"/>
        <v/>
      </c>
      <c r="AA160" s="3">
        <f t="shared" si="11"/>
        <v>0.517709024</v>
      </c>
    </row>
    <row r="161">
      <c r="A161" s="1" t="s">
        <v>1473</v>
      </c>
      <c r="B161" s="2" t="s">
        <v>43</v>
      </c>
      <c r="C161" s="2" t="s">
        <v>1488</v>
      </c>
      <c r="D161" s="2" t="s">
        <v>1489</v>
      </c>
      <c r="E161" s="2" t="s">
        <v>1490</v>
      </c>
      <c r="F161" s="2" t="s">
        <v>55</v>
      </c>
      <c r="G161" s="2" t="s">
        <v>1491</v>
      </c>
      <c r="H161" s="2" t="s">
        <v>1492</v>
      </c>
      <c r="I161" s="2" t="s">
        <v>1493</v>
      </c>
      <c r="J161" s="2" t="s">
        <v>55</v>
      </c>
      <c r="K161" s="2" t="s">
        <v>1494</v>
      </c>
      <c r="L161" s="2" t="s">
        <v>1495</v>
      </c>
      <c r="M161" s="2" t="s">
        <v>1496</v>
      </c>
      <c r="N161" s="2" t="s">
        <v>55</v>
      </c>
      <c r="O161" s="2" t="s">
        <v>1497</v>
      </c>
      <c r="P161" s="2" t="s">
        <v>1498</v>
      </c>
      <c r="Q161" s="3" t="str">
        <f t="shared" si="1"/>
        <v/>
      </c>
      <c r="R161" s="3" t="str">
        <f t="shared" si="2"/>
        <v/>
      </c>
      <c r="S161" s="3" t="str">
        <f t="shared" si="3"/>
        <v/>
      </c>
      <c r="T161" s="3" t="str">
        <f t="shared" si="4"/>
        <v/>
      </c>
      <c r="U161" s="3">
        <f t="shared" si="12"/>
        <v>97</v>
      </c>
      <c r="V161" s="3">
        <f t="shared" si="6"/>
        <v>94</v>
      </c>
      <c r="W161" s="3">
        <f t="shared" si="7"/>
        <v>99</v>
      </c>
      <c r="X161" s="3" t="str">
        <f t="shared" si="8"/>
        <v/>
      </c>
      <c r="Y161" s="3" t="str">
        <f t="shared" si="9"/>
        <v/>
      </c>
      <c r="Z161" s="3" t="str">
        <f t="shared" si="10"/>
        <v/>
      </c>
      <c r="AA161" s="3">
        <f t="shared" si="11"/>
        <v>0</v>
      </c>
    </row>
    <row r="162">
      <c r="A162" s="1" t="s">
        <v>1499</v>
      </c>
      <c r="B162" s="2" t="s">
        <v>28</v>
      </c>
      <c r="C162" s="2" t="s">
        <v>1500</v>
      </c>
      <c r="D162" s="2" t="s">
        <v>1501</v>
      </c>
      <c r="E162" s="2" t="s">
        <v>1502</v>
      </c>
      <c r="F162" s="2" t="s">
        <v>55</v>
      </c>
      <c r="G162" s="2" t="s">
        <v>55</v>
      </c>
      <c r="H162" s="2" t="s">
        <v>55</v>
      </c>
      <c r="I162" s="2" t="s">
        <v>54</v>
      </c>
      <c r="J162" s="2" t="s">
        <v>55</v>
      </c>
      <c r="K162" s="2" t="s">
        <v>55</v>
      </c>
      <c r="L162" s="2" t="s">
        <v>55</v>
      </c>
      <c r="M162" s="2" t="s">
        <v>54</v>
      </c>
      <c r="N162" s="2" t="s">
        <v>55</v>
      </c>
      <c r="O162" s="2" t="s">
        <v>55</v>
      </c>
      <c r="P162" s="2" t="s">
        <v>55</v>
      </c>
      <c r="Q162" s="3">
        <f t="shared" si="1"/>
        <v>5</v>
      </c>
      <c r="R162" s="3">
        <f t="shared" si="2"/>
        <v>-0.00000001999999881</v>
      </c>
      <c r="S162" s="3">
        <f t="shared" si="3"/>
        <v>0</v>
      </c>
      <c r="T162" s="3">
        <f t="shared" si="4"/>
        <v>0</v>
      </c>
      <c r="U162" s="3">
        <f t="shared" si="12"/>
        <v>100</v>
      </c>
      <c r="V162" s="3">
        <f t="shared" si="6"/>
        <v>100</v>
      </c>
      <c r="W162" s="3">
        <f t="shared" si="7"/>
        <v>100</v>
      </c>
      <c r="X162" s="3" t="str">
        <f t="shared" si="8"/>
        <v>full access</v>
      </c>
      <c r="Y162" s="3" t="str">
        <f t="shared" si="9"/>
        <v>full access</v>
      </c>
      <c r="Z162" s="3" t="str">
        <f t="shared" si="10"/>
        <v>full access</v>
      </c>
      <c r="AA162" s="3">
        <f t="shared" si="11"/>
        <v>0</v>
      </c>
    </row>
    <row r="163">
      <c r="A163" s="1" t="s">
        <v>1499</v>
      </c>
      <c r="B163" s="2" t="s">
        <v>43</v>
      </c>
      <c r="C163" s="2" t="s">
        <v>1503</v>
      </c>
      <c r="D163" s="2" t="s">
        <v>1504</v>
      </c>
      <c r="E163" s="2" t="s">
        <v>1505</v>
      </c>
      <c r="F163" s="2" t="s">
        <v>55</v>
      </c>
      <c r="G163" s="2" t="s">
        <v>55</v>
      </c>
      <c r="H163" s="2" t="s">
        <v>55</v>
      </c>
      <c r="I163" s="2" t="s">
        <v>54</v>
      </c>
      <c r="J163" s="2" t="s">
        <v>55</v>
      </c>
      <c r="K163" s="2" t="s">
        <v>55</v>
      </c>
      <c r="L163" s="2" t="s">
        <v>55</v>
      </c>
      <c r="M163" s="2" t="s">
        <v>54</v>
      </c>
      <c r="N163" s="2" t="s">
        <v>55</v>
      </c>
      <c r="O163" s="2" t="s">
        <v>55</v>
      </c>
      <c r="P163" s="2" t="s">
        <v>55</v>
      </c>
      <c r="Q163" s="3" t="str">
        <f t="shared" si="1"/>
        <v/>
      </c>
      <c r="R163" s="3" t="str">
        <f t="shared" si="2"/>
        <v/>
      </c>
      <c r="S163" s="3" t="str">
        <f t="shared" si="3"/>
        <v/>
      </c>
      <c r="T163" s="3" t="str">
        <f t="shared" si="4"/>
        <v/>
      </c>
      <c r="U163" s="3">
        <f t="shared" si="12"/>
        <v>100</v>
      </c>
      <c r="V163" s="3">
        <f t="shared" si="6"/>
        <v>100</v>
      </c>
      <c r="W163" s="3">
        <f t="shared" si="7"/>
        <v>100</v>
      </c>
      <c r="X163" s="3" t="str">
        <f t="shared" si="8"/>
        <v/>
      </c>
      <c r="Y163" s="3" t="str">
        <f t="shared" si="9"/>
        <v/>
      </c>
      <c r="Z163" s="3" t="str">
        <f t="shared" si="10"/>
        <v/>
      </c>
      <c r="AA163" s="3">
        <f t="shared" si="11"/>
        <v>0</v>
      </c>
    </row>
    <row r="164">
      <c r="A164" s="1" t="s">
        <v>1506</v>
      </c>
      <c r="B164" s="2" t="s">
        <v>28</v>
      </c>
      <c r="C164" s="2" t="s">
        <v>1507</v>
      </c>
      <c r="D164" s="2" t="s">
        <v>1508</v>
      </c>
      <c r="E164" s="2" t="s">
        <v>1509</v>
      </c>
      <c r="F164" s="2" t="s">
        <v>1510</v>
      </c>
      <c r="G164" s="2" t="s">
        <v>1511</v>
      </c>
      <c r="H164" s="2" t="s">
        <v>1512</v>
      </c>
      <c r="I164" s="2" t="s">
        <v>1513</v>
      </c>
      <c r="J164" s="2" t="s">
        <v>1514</v>
      </c>
      <c r="K164" s="2" t="s">
        <v>1515</v>
      </c>
      <c r="L164" s="2" t="s">
        <v>1516</v>
      </c>
      <c r="M164" s="2" t="s">
        <v>1517</v>
      </c>
      <c r="N164" s="2" t="s">
        <v>1518</v>
      </c>
      <c r="O164" s="2" t="s">
        <v>1519</v>
      </c>
      <c r="P164" s="2" t="s">
        <v>1520</v>
      </c>
      <c r="Q164" s="3">
        <f t="shared" si="1"/>
        <v>5</v>
      </c>
      <c r="R164" s="3">
        <f t="shared" si="2"/>
        <v>1.126607084</v>
      </c>
      <c r="S164" s="3">
        <f t="shared" si="3"/>
        <v>0.936889056</v>
      </c>
      <c r="T164" s="3">
        <f t="shared" si="4"/>
        <v>0.995247936</v>
      </c>
      <c r="U164" s="3">
        <f t="shared" si="12"/>
        <v>80</v>
      </c>
      <c r="V164" s="3">
        <f t="shared" si="6"/>
        <v>67</v>
      </c>
      <c r="W164" s="3">
        <f t="shared" si="7"/>
        <v>91</v>
      </c>
      <c r="X164" s="3" t="str">
        <f t="shared" si="8"/>
        <v/>
      </c>
      <c r="Y164" s="3" t="str">
        <f t="shared" si="9"/>
        <v/>
      </c>
      <c r="Z164" s="3" t="str">
        <f t="shared" si="10"/>
        <v/>
      </c>
      <c r="AA164" s="3">
        <f t="shared" si="11"/>
        <v>-0.05835888</v>
      </c>
    </row>
    <row r="165">
      <c r="A165" s="1" t="s">
        <v>1506</v>
      </c>
      <c r="B165" s="2" t="s">
        <v>43</v>
      </c>
      <c r="C165" s="2" t="s">
        <v>1521</v>
      </c>
      <c r="D165" s="2" t="s">
        <v>1522</v>
      </c>
      <c r="E165" s="2" t="s">
        <v>1523</v>
      </c>
      <c r="F165" s="2" t="s">
        <v>1524</v>
      </c>
      <c r="G165" s="2" t="s">
        <v>1525</v>
      </c>
      <c r="H165" s="2" t="s">
        <v>1526</v>
      </c>
      <c r="I165" s="2" t="s">
        <v>1527</v>
      </c>
      <c r="J165" s="2" t="s">
        <v>1528</v>
      </c>
      <c r="K165" s="2" t="s">
        <v>1529</v>
      </c>
      <c r="L165" s="2" t="s">
        <v>1530</v>
      </c>
      <c r="M165" s="2" t="s">
        <v>1531</v>
      </c>
      <c r="N165" s="2" t="s">
        <v>1532</v>
      </c>
      <c r="O165" s="2" t="s">
        <v>1533</v>
      </c>
      <c r="P165" s="2" t="s">
        <v>1534</v>
      </c>
      <c r="Q165" s="3" t="str">
        <f t="shared" si="1"/>
        <v/>
      </c>
      <c r="R165" s="3" t="str">
        <f t="shared" si="2"/>
        <v/>
      </c>
      <c r="S165" s="3" t="str">
        <f t="shared" si="3"/>
        <v/>
      </c>
      <c r="T165" s="3" t="str">
        <f t="shared" si="4"/>
        <v/>
      </c>
      <c r="U165" s="3">
        <f t="shared" si="12"/>
        <v>86</v>
      </c>
      <c r="V165" s="3">
        <f t="shared" si="6"/>
        <v>72</v>
      </c>
      <c r="W165" s="3">
        <f t="shared" si="7"/>
        <v>96</v>
      </c>
      <c r="X165" s="3" t="str">
        <f t="shared" si="8"/>
        <v/>
      </c>
      <c r="Y165" s="3" t="str">
        <f t="shared" si="9"/>
        <v/>
      </c>
      <c r="Z165" s="3" t="str">
        <f t="shared" si="10"/>
        <v/>
      </c>
      <c r="AA165" s="3">
        <f t="shared" si="11"/>
        <v>0</v>
      </c>
    </row>
    <row r="166">
      <c r="A166" s="1" t="s">
        <v>1535</v>
      </c>
      <c r="B166" s="2" t="s">
        <v>28</v>
      </c>
      <c r="C166" s="2" t="s">
        <v>1536</v>
      </c>
      <c r="D166" s="2" t="s">
        <v>54</v>
      </c>
      <c r="E166" s="2" t="s">
        <v>54</v>
      </c>
      <c r="F166" s="2" t="s">
        <v>55</v>
      </c>
      <c r="G166" s="2" t="s">
        <v>55</v>
      </c>
      <c r="H166" s="2" t="s">
        <v>55</v>
      </c>
      <c r="I166" s="1" t="s">
        <v>112</v>
      </c>
      <c r="J166" s="1" t="s">
        <v>112</v>
      </c>
      <c r="K166" s="1" t="s">
        <v>112</v>
      </c>
      <c r="L166" s="1" t="s">
        <v>112</v>
      </c>
      <c r="M166" s="2" t="s">
        <v>54</v>
      </c>
      <c r="N166" s="2" t="s">
        <v>55</v>
      </c>
      <c r="O166" s="2" t="s">
        <v>55</v>
      </c>
      <c r="P166" s="2" t="s">
        <v>55</v>
      </c>
      <c r="Q166" s="3">
        <f t="shared" si="1"/>
        <v>5</v>
      </c>
      <c r="R166" s="3">
        <f t="shared" si="2"/>
        <v>0</v>
      </c>
      <c r="S166" s="3" t="str">
        <f t="shared" si="3"/>
        <v/>
      </c>
      <c r="T166" s="3">
        <f t="shared" si="4"/>
        <v>0</v>
      </c>
      <c r="U166" s="3">
        <f t="shared" si="12"/>
        <v>100</v>
      </c>
      <c r="V166" s="3">
        <f t="shared" si="6"/>
        <v>0</v>
      </c>
      <c r="W166" s="3">
        <f t="shared" si="7"/>
        <v>100</v>
      </c>
      <c r="X166" s="3" t="str">
        <f t="shared" si="8"/>
        <v>full access</v>
      </c>
      <c r="Y166" s="3" t="str">
        <f t="shared" si="9"/>
        <v/>
      </c>
      <c r="Z166" s="3" t="str">
        <f t="shared" si="10"/>
        <v>full access</v>
      </c>
      <c r="AA166" s="3">
        <f t="shared" si="11"/>
        <v>0</v>
      </c>
    </row>
    <row r="167">
      <c r="A167" s="1" t="s">
        <v>1535</v>
      </c>
      <c r="B167" s="2" t="s">
        <v>43</v>
      </c>
      <c r="C167" s="2" t="s">
        <v>1537</v>
      </c>
      <c r="D167" s="2" t="s">
        <v>54</v>
      </c>
      <c r="E167" s="2" t="s">
        <v>54</v>
      </c>
      <c r="F167" s="2" t="s">
        <v>55</v>
      </c>
      <c r="G167" s="2" t="s">
        <v>55</v>
      </c>
      <c r="H167" s="2" t="s">
        <v>55</v>
      </c>
      <c r="I167" s="1" t="s">
        <v>112</v>
      </c>
      <c r="J167" s="1" t="s">
        <v>112</v>
      </c>
      <c r="K167" s="1" t="s">
        <v>112</v>
      </c>
      <c r="L167" s="1" t="s">
        <v>112</v>
      </c>
      <c r="M167" s="2" t="s">
        <v>54</v>
      </c>
      <c r="N167" s="2" t="s">
        <v>55</v>
      </c>
      <c r="O167" s="2" t="s">
        <v>55</v>
      </c>
      <c r="P167" s="2" t="s">
        <v>55</v>
      </c>
      <c r="Q167" s="3" t="str">
        <f t="shared" si="1"/>
        <v/>
      </c>
      <c r="R167" s="3" t="str">
        <f t="shared" si="2"/>
        <v/>
      </c>
      <c r="S167" s="3" t="str">
        <f t="shared" si="3"/>
        <v/>
      </c>
      <c r="T167" s="3" t="str">
        <f t="shared" si="4"/>
        <v/>
      </c>
      <c r="U167" s="3">
        <f t="shared" si="12"/>
        <v>100</v>
      </c>
      <c r="V167" s="3">
        <f t="shared" si="6"/>
        <v>0</v>
      </c>
      <c r="W167" s="3">
        <f t="shared" si="7"/>
        <v>100</v>
      </c>
      <c r="X167" s="3" t="str">
        <f t="shared" si="8"/>
        <v/>
      </c>
      <c r="Y167" s="3" t="str">
        <f t="shared" si="9"/>
        <v/>
      </c>
      <c r="Z167" s="3" t="str">
        <f t="shared" si="10"/>
        <v/>
      </c>
      <c r="AA167" s="3">
        <f t="shared" si="11"/>
        <v>0</v>
      </c>
    </row>
    <row r="168">
      <c r="A168" s="1" t="s">
        <v>1538</v>
      </c>
      <c r="B168" s="2" t="s">
        <v>28</v>
      </c>
      <c r="C168" s="2" t="s">
        <v>1539</v>
      </c>
      <c r="D168" s="2" t="s">
        <v>1540</v>
      </c>
      <c r="E168" s="2" t="s">
        <v>1541</v>
      </c>
      <c r="F168" s="2" t="s">
        <v>55</v>
      </c>
      <c r="G168" s="2" t="s">
        <v>55</v>
      </c>
      <c r="H168" s="2" t="s">
        <v>55</v>
      </c>
      <c r="I168" s="2" t="s">
        <v>54</v>
      </c>
      <c r="J168" s="2" t="s">
        <v>55</v>
      </c>
      <c r="K168" s="2" t="s">
        <v>55</v>
      </c>
      <c r="L168" s="2" t="s">
        <v>55</v>
      </c>
      <c r="M168" s="2" t="s">
        <v>54</v>
      </c>
      <c r="N168" s="2" t="s">
        <v>55</v>
      </c>
      <c r="O168" s="2" t="s">
        <v>55</v>
      </c>
      <c r="P168" s="2" t="s">
        <v>55</v>
      </c>
      <c r="Q168" s="3">
        <f t="shared" si="1"/>
        <v>5</v>
      </c>
      <c r="R168" s="3">
        <f t="shared" si="2"/>
        <v>-0.0000004599999983</v>
      </c>
      <c r="S168" s="3">
        <f t="shared" si="3"/>
        <v>0</v>
      </c>
      <c r="T168" s="3">
        <f t="shared" si="4"/>
        <v>0</v>
      </c>
      <c r="U168" s="3">
        <f t="shared" si="12"/>
        <v>100</v>
      </c>
      <c r="V168" s="3">
        <f t="shared" si="6"/>
        <v>100</v>
      </c>
      <c r="W168" s="3">
        <f t="shared" si="7"/>
        <v>100</v>
      </c>
      <c r="X168" s="3" t="str">
        <f t="shared" si="8"/>
        <v>full access</v>
      </c>
      <c r="Y168" s="3" t="str">
        <f t="shared" si="9"/>
        <v>full access</v>
      </c>
      <c r="Z168" s="3" t="str">
        <f t="shared" si="10"/>
        <v>full access</v>
      </c>
      <c r="AA168" s="3">
        <f t="shared" si="11"/>
        <v>0</v>
      </c>
    </row>
    <row r="169">
      <c r="A169" s="1" t="s">
        <v>1538</v>
      </c>
      <c r="B169" s="2" t="s">
        <v>43</v>
      </c>
      <c r="C169" s="2" t="s">
        <v>1542</v>
      </c>
      <c r="D169" s="2" t="s">
        <v>1543</v>
      </c>
      <c r="E169" s="2" t="s">
        <v>1505</v>
      </c>
      <c r="F169" s="2" t="s">
        <v>55</v>
      </c>
      <c r="G169" s="2" t="s">
        <v>55</v>
      </c>
      <c r="H169" s="2" t="s">
        <v>55</v>
      </c>
      <c r="I169" s="2" t="s">
        <v>54</v>
      </c>
      <c r="J169" s="2" t="s">
        <v>55</v>
      </c>
      <c r="K169" s="2" t="s">
        <v>55</v>
      </c>
      <c r="L169" s="2" t="s">
        <v>55</v>
      </c>
      <c r="M169" s="2" t="s">
        <v>54</v>
      </c>
      <c r="N169" s="2" t="s">
        <v>55</v>
      </c>
      <c r="O169" s="2" t="s">
        <v>55</v>
      </c>
      <c r="P169" s="2" t="s">
        <v>55</v>
      </c>
      <c r="Q169" s="3" t="str">
        <f t="shared" si="1"/>
        <v/>
      </c>
      <c r="R169" s="3" t="str">
        <f t="shared" si="2"/>
        <v/>
      </c>
      <c r="S169" s="3" t="str">
        <f t="shared" si="3"/>
        <v/>
      </c>
      <c r="T169" s="3" t="str">
        <f t="shared" si="4"/>
        <v/>
      </c>
      <c r="U169" s="3">
        <f t="shared" si="12"/>
        <v>100</v>
      </c>
      <c r="V169" s="3">
        <f t="shared" si="6"/>
        <v>100</v>
      </c>
      <c r="W169" s="3">
        <f t="shared" si="7"/>
        <v>100</v>
      </c>
      <c r="X169" s="3" t="str">
        <f t="shared" si="8"/>
        <v/>
      </c>
      <c r="Y169" s="3" t="str">
        <f t="shared" si="9"/>
        <v/>
      </c>
      <c r="Z169" s="3" t="str">
        <f t="shared" si="10"/>
        <v/>
      </c>
      <c r="AA169" s="3">
        <f t="shared" si="11"/>
        <v>0</v>
      </c>
    </row>
    <row r="170">
      <c r="A170" s="1" t="s">
        <v>1544</v>
      </c>
      <c r="B170" s="2" t="s">
        <v>28</v>
      </c>
      <c r="C170" s="2" t="s">
        <v>1545</v>
      </c>
      <c r="D170" s="2" t="s">
        <v>1546</v>
      </c>
      <c r="E170" s="2" t="s">
        <v>54</v>
      </c>
      <c r="F170" s="2" t="s">
        <v>55</v>
      </c>
      <c r="G170" s="2" t="s">
        <v>55</v>
      </c>
      <c r="H170" s="2" t="s">
        <v>55</v>
      </c>
      <c r="I170" s="2" t="s">
        <v>54</v>
      </c>
      <c r="J170" s="2" t="s">
        <v>55</v>
      </c>
      <c r="K170" s="2" t="s">
        <v>55</v>
      </c>
      <c r="L170" s="2" t="s">
        <v>55</v>
      </c>
      <c r="M170" s="2" t="s">
        <v>54</v>
      </c>
      <c r="N170" s="2" t="s">
        <v>55</v>
      </c>
      <c r="O170" s="2" t="s">
        <v>55</v>
      </c>
      <c r="P170" s="2" t="s">
        <v>55</v>
      </c>
      <c r="Q170" s="3">
        <f t="shared" si="1"/>
        <v>5</v>
      </c>
      <c r="R170" s="3">
        <f t="shared" si="2"/>
        <v>0.0000003399999997</v>
      </c>
      <c r="S170" s="3">
        <f t="shared" si="3"/>
        <v>0</v>
      </c>
      <c r="T170" s="3">
        <f t="shared" si="4"/>
        <v>0</v>
      </c>
      <c r="U170" s="3">
        <f t="shared" si="12"/>
        <v>100</v>
      </c>
      <c r="V170" s="3">
        <f t="shared" si="6"/>
        <v>100</v>
      </c>
      <c r="W170" s="3">
        <f t="shared" si="7"/>
        <v>100</v>
      </c>
      <c r="X170" s="3" t="str">
        <f t="shared" si="8"/>
        <v>full access</v>
      </c>
      <c r="Y170" s="3" t="str">
        <f t="shared" si="9"/>
        <v>full access</v>
      </c>
      <c r="Z170" s="3" t="str">
        <f t="shared" si="10"/>
        <v>full access</v>
      </c>
      <c r="AA170" s="3">
        <f t="shared" si="11"/>
        <v>0</v>
      </c>
    </row>
    <row r="171">
      <c r="A171" s="1" t="s">
        <v>1544</v>
      </c>
      <c r="B171" s="2" t="s">
        <v>43</v>
      </c>
      <c r="C171" s="2" t="s">
        <v>1547</v>
      </c>
      <c r="D171" s="2" t="s">
        <v>1548</v>
      </c>
      <c r="E171" s="2" t="s">
        <v>1549</v>
      </c>
      <c r="F171" s="2" t="s">
        <v>55</v>
      </c>
      <c r="G171" s="2" t="s">
        <v>55</v>
      </c>
      <c r="H171" s="2" t="s">
        <v>55</v>
      </c>
      <c r="I171" s="2" t="s">
        <v>54</v>
      </c>
      <c r="J171" s="2" t="s">
        <v>55</v>
      </c>
      <c r="K171" s="2" t="s">
        <v>55</v>
      </c>
      <c r="L171" s="2" t="s">
        <v>55</v>
      </c>
      <c r="M171" s="2" t="s">
        <v>54</v>
      </c>
      <c r="N171" s="2" t="s">
        <v>55</v>
      </c>
      <c r="O171" s="2" t="s">
        <v>55</v>
      </c>
      <c r="P171" s="2" t="s">
        <v>55</v>
      </c>
      <c r="Q171" s="3" t="str">
        <f t="shared" si="1"/>
        <v/>
      </c>
      <c r="R171" s="3" t="str">
        <f t="shared" si="2"/>
        <v/>
      </c>
      <c r="S171" s="3" t="str">
        <f t="shared" si="3"/>
        <v/>
      </c>
      <c r="T171" s="3" t="str">
        <f t="shared" si="4"/>
        <v/>
      </c>
      <c r="U171" s="3">
        <f t="shared" si="12"/>
        <v>100</v>
      </c>
      <c r="V171" s="3">
        <f t="shared" si="6"/>
        <v>100</v>
      </c>
      <c r="W171" s="3">
        <f t="shared" si="7"/>
        <v>100</v>
      </c>
      <c r="X171" s="3" t="str">
        <f t="shared" si="8"/>
        <v/>
      </c>
      <c r="Y171" s="3" t="str">
        <f t="shared" si="9"/>
        <v/>
      </c>
      <c r="Z171" s="3" t="str">
        <f t="shared" si="10"/>
        <v/>
      </c>
      <c r="AA171" s="3">
        <f t="shared" si="11"/>
        <v>0</v>
      </c>
    </row>
    <row r="172">
      <c r="A172" s="1" t="s">
        <v>1550</v>
      </c>
      <c r="B172" s="2" t="s">
        <v>28</v>
      </c>
      <c r="C172" s="2" t="s">
        <v>1551</v>
      </c>
      <c r="D172" s="2" t="s">
        <v>1552</v>
      </c>
      <c r="E172" s="2" t="s">
        <v>1553</v>
      </c>
      <c r="F172" s="2" t="s">
        <v>1554</v>
      </c>
      <c r="G172" s="2" t="s">
        <v>55</v>
      </c>
      <c r="H172" s="2" t="s">
        <v>1555</v>
      </c>
      <c r="I172" s="1" t="s">
        <v>112</v>
      </c>
      <c r="J172" s="1" t="s">
        <v>112</v>
      </c>
      <c r="K172" s="1" t="s">
        <v>112</v>
      </c>
      <c r="L172" s="1" t="s">
        <v>112</v>
      </c>
      <c r="M172" s="1" t="s">
        <v>112</v>
      </c>
      <c r="N172" s="1" t="s">
        <v>112</v>
      </c>
      <c r="O172" s="1" t="s">
        <v>112</v>
      </c>
      <c r="P172" s="1" t="s">
        <v>112</v>
      </c>
      <c r="Q172" s="3">
        <f t="shared" si="1"/>
        <v>2</v>
      </c>
      <c r="R172" s="3">
        <f t="shared" si="2"/>
        <v>0</v>
      </c>
      <c r="S172" s="3" t="str">
        <f t="shared" si="3"/>
        <v/>
      </c>
      <c r="T172" s="3" t="str">
        <f t="shared" si="4"/>
        <v/>
      </c>
      <c r="U172" s="3">
        <f t="shared" si="12"/>
        <v>96</v>
      </c>
      <c r="V172" s="3">
        <f t="shared" si="6"/>
        <v>0</v>
      </c>
      <c r="W172" s="3">
        <f t="shared" si="7"/>
        <v>0</v>
      </c>
      <c r="X172" s="3" t="str">
        <f t="shared" si="8"/>
        <v/>
      </c>
      <c r="Y172" s="3" t="str">
        <f t="shared" si="9"/>
        <v/>
      </c>
      <c r="Z172" s="3" t="str">
        <f t="shared" si="10"/>
        <v/>
      </c>
      <c r="AA172" s="3">
        <f t="shared" si="11"/>
        <v>0</v>
      </c>
    </row>
    <row r="173">
      <c r="A173" s="1" t="s">
        <v>1550</v>
      </c>
      <c r="B173" s="2" t="s">
        <v>158</v>
      </c>
      <c r="C173" s="2" t="s">
        <v>1556</v>
      </c>
      <c r="D173" s="2" t="s">
        <v>1557</v>
      </c>
      <c r="E173" s="2" t="s">
        <v>1553</v>
      </c>
      <c r="F173" s="2" t="s">
        <v>1554</v>
      </c>
      <c r="G173" s="2" t="s">
        <v>55</v>
      </c>
      <c r="H173" s="2" t="s">
        <v>1555</v>
      </c>
      <c r="I173" s="1" t="s">
        <v>112</v>
      </c>
      <c r="J173" s="1" t="s">
        <v>112</v>
      </c>
      <c r="K173" s="1" t="s">
        <v>112</v>
      </c>
      <c r="L173" s="1" t="s">
        <v>112</v>
      </c>
      <c r="M173" s="1" t="s">
        <v>112</v>
      </c>
      <c r="N173" s="1" t="s">
        <v>112</v>
      </c>
      <c r="O173" s="1" t="s">
        <v>112</v>
      </c>
      <c r="P173" s="1" t="s">
        <v>112</v>
      </c>
      <c r="Q173" s="3" t="str">
        <f t="shared" si="1"/>
        <v/>
      </c>
      <c r="R173" s="3" t="str">
        <f t="shared" si="2"/>
        <v/>
      </c>
      <c r="S173" s="3" t="str">
        <f t="shared" si="3"/>
        <v/>
      </c>
      <c r="T173" s="3" t="str">
        <f t="shared" si="4"/>
        <v/>
      </c>
      <c r="U173" s="3">
        <f t="shared" si="12"/>
        <v>96</v>
      </c>
      <c r="V173" s="3">
        <f t="shared" si="6"/>
        <v>0</v>
      </c>
      <c r="W173" s="3">
        <f t="shared" si="7"/>
        <v>0</v>
      </c>
      <c r="X173" s="3" t="str">
        <f t="shared" si="8"/>
        <v/>
      </c>
      <c r="Y173" s="3" t="str">
        <f t="shared" si="9"/>
        <v/>
      </c>
      <c r="Z173" s="3" t="str">
        <f t="shared" si="10"/>
        <v/>
      </c>
      <c r="AA173" s="3">
        <f t="shared" si="11"/>
        <v>0</v>
      </c>
    </row>
    <row r="174">
      <c r="A174" s="1" t="s">
        <v>1558</v>
      </c>
      <c r="B174" s="2" t="s">
        <v>28</v>
      </c>
      <c r="C174" s="2" t="s">
        <v>1559</v>
      </c>
      <c r="D174" s="2" t="s">
        <v>1560</v>
      </c>
      <c r="E174" s="2" t="s">
        <v>1561</v>
      </c>
      <c r="F174" s="2" t="s">
        <v>55</v>
      </c>
      <c r="G174" s="2" t="s">
        <v>1562</v>
      </c>
      <c r="H174" s="2" t="s">
        <v>55</v>
      </c>
      <c r="I174" s="1" t="s">
        <v>112</v>
      </c>
      <c r="J174" s="1" t="s">
        <v>112</v>
      </c>
      <c r="K174" s="1" t="s">
        <v>112</v>
      </c>
      <c r="L174" s="1" t="s">
        <v>112</v>
      </c>
      <c r="M174" s="1" t="s">
        <v>112</v>
      </c>
      <c r="N174" s="1" t="s">
        <v>112</v>
      </c>
      <c r="O174" s="1" t="s">
        <v>112</v>
      </c>
      <c r="P174" s="1" t="s">
        <v>112</v>
      </c>
      <c r="Q174" s="3">
        <f t="shared" si="1"/>
        <v>5</v>
      </c>
      <c r="R174" s="3">
        <f t="shared" si="2"/>
        <v>0.038419582</v>
      </c>
      <c r="S174" s="3" t="str">
        <f t="shared" si="3"/>
        <v/>
      </c>
      <c r="T174" s="3" t="str">
        <f t="shared" si="4"/>
        <v/>
      </c>
      <c r="U174" s="3">
        <f t="shared" si="12"/>
        <v>100</v>
      </c>
      <c r="V174" s="3">
        <f t="shared" si="6"/>
        <v>0</v>
      </c>
      <c r="W174" s="3">
        <f t="shared" si="7"/>
        <v>0</v>
      </c>
      <c r="X174" s="3" t="str">
        <f t="shared" si="8"/>
        <v>full access</v>
      </c>
      <c r="Y174" s="3" t="str">
        <f t="shared" si="9"/>
        <v/>
      </c>
      <c r="Z174" s="3" t="str">
        <f t="shared" si="10"/>
        <v/>
      </c>
      <c r="AA174" s="3">
        <f t="shared" si="11"/>
        <v>0</v>
      </c>
    </row>
    <row r="175">
      <c r="A175" s="1" t="s">
        <v>1558</v>
      </c>
      <c r="B175" s="2" t="s">
        <v>43</v>
      </c>
      <c r="C175" s="2" t="s">
        <v>1563</v>
      </c>
      <c r="D175" s="2" t="s">
        <v>1564</v>
      </c>
      <c r="E175" s="2" t="s">
        <v>1565</v>
      </c>
      <c r="F175" s="2" t="s">
        <v>55</v>
      </c>
      <c r="G175" s="2" t="s">
        <v>1566</v>
      </c>
      <c r="H175" s="2" t="s">
        <v>55</v>
      </c>
      <c r="I175" s="1" t="s">
        <v>112</v>
      </c>
      <c r="J175" s="1" t="s">
        <v>112</v>
      </c>
      <c r="K175" s="1" t="s">
        <v>112</v>
      </c>
      <c r="L175" s="1" t="s">
        <v>112</v>
      </c>
      <c r="M175" s="1" t="s">
        <v>112</v>
      </c>
      <c r="N175" s="1" t="s">
        <v>112</v>
      </c>
      <c r="O175" s="1" t="s">
        <v>112</v>
      </c>
      <c r="P175" s="1" t="s">
        <v>112</v>
      </c>
      <c r="Q175" s="3" t="str">
        <f t="shared" si="1"/>
        <v/>
      </c>
      <c r="R175" s="3" t="str">
        <f t="shared" si="2"/>
        <v/>
      </c>
      <c r="S175" s="3" t="str">
        <f t="shared" si="3"/>
        <v/>
      </c>
      <c r="T175" s="3" t="str">
        <f t="shared" si="4"/>
        <v/>
      </c>
      <c r="U175" s="3">
        <f t="shared" si="12"/>
        <v>100</v>
      </c>
      <c r="V175" s="3">
        <f t="shared" si="6"/>
        <v>0</v>
      </c>
      <c r="W175" s="3">
        <f t="shared" si="7"/>
        <v>0</v>
      </c>
      <c r="X175" s="3" t="str">
        <f t="shared" si="8"/>
        <v/>
      </c>
      <c r="Y175" s="3" t="str">
        <f t="shared" si="9"/>
        <v/>
      </c>
      <c r="Z175" s="3" t="str">
        <f t="shared" si="10"/>
        <v/>
      </c>
      <c r="AA175" s="3">
        <f t="shared" si="11"/>
        <v>0</v>
      </c>
    </row>
    <row r="176">
      <c r="A176" s="1" t="s">
        <v>1567</v>
      </c>
      <c r="B176" s="2" t="s">
        <v>28</v>
      </c>
      <c r="C176" s="2" t="s">
        <v>1568</v>
      </c>
      <c r="D176" s="2" t="s">
        <v>1569</v>
      </c>
      <c r="E176" s="2" t="s">
        <v>1570</v>
      </c>
      <c r="F176" s="2" t="s">
        <v>55</v>
      </c>
      <c r="G176" s="2" t="s">
        <v>1571</v>
      </c>
      <c r="H176" s="2" t="s">
        <v>55</v>
      </c>
      <c r="I176" s="1" t="s">
        <v>112</v>
      </c>
      <c r="J176" s="1" t="s">
        <v>112</v>
      </c>
      <c r="K176" s="1" t="s">
        <v>112</v>
      </c>
      <c r="L176" s="1" t="s">
        <v>112</v>
      </c>
      <c r="M176" s="1" t="s">
        <v>112</v>
      </c>
      <c r="N176" s="1" t="s">
        <v>112</v>
      </c>
      <c r="O176" s="1" t="s">
        <v>112</v>
      </c>
      <c r="P176" s="1" t="s">
        <v>112</v>
      </c>
      <c r="Q176" s="3">
        <f t="shared" si="1"/>
        <v>5</v>
      </c>
      <c r="R176" s="3">
        <f t="shared" si="2"/>
        <v>0</v>
      </c>
      <c r="S176" s="3" t="str">
        <f t="shared" si="3"/>
        <v/>
      </c>
      <c r="T176" s="3" t="str">
        <f t="shared" si="4"/>
        <v/>
      </c>
      <c r="U176" s="3">
        <f t="shared" si="12"/>
        <v>100</v>
      </c>
      <c r="V176" s="3">
        <f t="shared" si="6"/>
        <v>0</v>
      </c>
      <c r="W176" s="3">
        <f t="shared" si="7"/>
        <v>0</v>
      </c>
      <c r="X176" s="3" t="str">
        <f t="shared" si="8"/>
        <v>full access</v>
      </c>
      <c r="Y176" s="3" t="str">
        <f t="shared" si="9"/>
        <v/>
      </c>
      <c r="Z176" s="3" t="str">
        <f t="shared" si="10"/>
        <v/>
      </c>
      <c r="AA176" s="3">
        <f t="shared" si="11"/>
        <v>0</v>
      </c>
    </row>
    <row r="177">
      <c r="A177" s="1" t="s">
        <v>1567</v>
      </c>
      <c r="B177" s="2" t="s">
        <v>43</v>
      </c>
      <c r="C177" s="2" t="s">
        <v>1572</v>
      </c>
      <c r="D177" s="2" t="s">
        <v>1573</v>
      </c>
      <c r="E177" s="2" t="s">
        <v>1570</v>
      </c>
      <c r="F177" s="2" t="s">
        <v>55</v>
      </c>
      <c r="G177" s="2" t="s">
        <v>1571</v>
      </c>
      <c r="H177" s="2" t="s">
        <v>55</v>
      </c>
      <c r="I177" s="1" t="s">
        <v>112</v>
      </c>
      <c r="J177" s="1" t="s">
        <v>112</v>
      </c>
      <c r="K177" s="1" t="s">
        <v>112</v>
      </c>
      <c r="L177" s="1" t="s">
        <v>112</v>
      </c>
      <c r="M177" s="1" t="s">
        <v>112</v>
      </c>
      <c r="N177" s="1" t="s">
        <v>112</v>
      </c>
      <c r="O177" s="1" t="s">
        <v>112</v>
      </c>
      <c r="P177" s="1" t="s">
        <v>112</v>
      </c>
      <c r="Q177" s="3" t="str">
        <f t="shared" si="1"/>
        <v/>
      </c>
      <c r="R177" s="3" t="str">
        <f t="shared" si="2"/>
        <v/>
      </c>
      <c r="S177" s="3" t="str">
        <f t="shared" si="3"/>
        <v/>
      </c>
      <c r="T177" s="3" t="str">
        <f t="shared" si="4"/>
        <v/>
      </c>
      <c r="U177" s="3">
        <f t="shared" si="12"/>
        <v>100</v>
      </c>
      <c r="V177" s="3">
        <f t="shared" si="6"/>
        <v>0</v>
      </c>
      <c r="W177" s="3">
        <f t="shared" si="7"/>
        <v>0</v>
      </c>
      <c r="X177" s="3" t="str">
        <f t="shared" si="8"/>
        <v/>
      </c>
      <c r="Y177" s="3" t="str">
        <f t="shared" si="9"/>
        <v/>
      </c>
      <c r="Z177" s="3" t="str">
        <f t="shared" si="10"/>
        <v/>
      </c>
      <c r="AA177" s="3">
        <f t="shared" si="11"/>
        <v>0</v>
      </c>
    </row>
    <row r="178">
      <c r="A178" s="1" t="s">
        <v>1574</v>
      </c>
      <c r="B178" s="2" t="s">
        <v>28</v>
      </c>
      <c r="C178" s="2" t="s">
        <v>1575</v>
      </c>
      <c r="D178" s="2" t="s">
        <v>1576</v>
      </c>
      <c r="E178" s="2" t="s">
        <v>1577</v>
      </c>
      <c r="F178" s="2" t="s">
        <v>1578</v>
      </c>
      <c r="G178" s="2" t="s">
        <v>1579</v>
      </c>
      <c r="H178" s="2" t="s">
        <v>1580</v>
      </c>
      <c r="I178" s="2" t="s">
        <v>1581</v>
      </c>
      <c r="J178" s="2" t="s">
        <v>1582</v>
      </c>
      <c r="K178" s="2" t="s">
        <v>1583</v>
      </c>
      <c r="L178" s="2" t="s">
        <v>1584</v>
      </c>
      <c r="M178" s="2" t="s">
        <v>1585</v>
      </c>
      <c r="N178" s="2" t="s">
        <v>1586</v>
      </c>
      <c r="O178" s="2" t="s">
        <v>1587</v>
      </c>
      <c r="P178" s="2" t="s">
        <v>1588</v>
      </c>
      <c r="Q178" s="3">
        <f t="shared" si="1"/>
        <v>5</v>
      </c>
      <c r="R178" s="3">
        <f t="shared" si="2"/>
        <v>0.374478884</v>
      </c>
      <c r="S178" s="3">
        <f t="shared" si="3"/>
        <v>0.575314724</v>
      </c>
      <c r="T178" s="3">
        <f t="shared" si="4"/>
        <v>0.117436106</v>
      </c>
      <c r="U178" s="3">
        <f t="shared" si="12"/>
        <v>92</v>
      </c>
      <c r="V178" s="3">
        <f t="shared" si="6"/>
        <v>87</v>
      </c>
      <c r="W178" s="3">
        <f t="shared" si="7"/>
        <v>97</v>
      </c>
      <c r="X178" s="3" t="str">
        <f t="shared" si="8"/>
        <v/>
      </c>
      <c r="Y178" s="3" t="str">
        <f t="shared" si="9"/>
        <v/>
      </c>
      <c r="Z178" s="3" t="str">
        <f t="shared" si="10"/>
        <v/>
      </c>
      <c r="AA178" s="3">
        <f t="shared" si="11"/>
        <v>0.457878618</v>
      </c>
    </row>
    <row r="179">
      <c r="A179" s="1" t="s">
        <v>1574</v>
      </c>
      <c r="B179" s="2" t="s">
        <v>43</v>
      </c>
      <c r="C179" s="2" t="s">
        <v>1589</v>
      </c>
      <c r="D179" s="2" t="s">
        <v>1590</v>
      </c>
      <c r="E179" s="2" t="s">
        <v>1591</v>
      </c>
      <c r="F179" s="2" t="s">
        <v>1592</v>
      </c>
      <c r="G179" s="2" t="s">
        <v>1593</v>
      </c>
      <c r="H179" s="2" t="s">
        <v>1594</v>
      </c>
      <c r="I179" s="2" t="s">
        <v>1595</v>
      </c>
      <c r="J179" s="2" t="s">
        <v>1596</v>
      </c>
      <c r="K179" s="2" t="s">
        <v>1597</v>
      </c>
      <c r="L179" s="2" t="s">
        <v>1598</v>
      </c>
      <c r="M179" s="2" t="s">
        <v>1599</v>
      </c>
      <c r="N179" s="2" t="s">
        <v>1600</v>
      </c>
      <c r="O179" s="2" t="s">
        <v>1601</v>
      </c>
      <c r="P179" s="2" t="s">
        <v>1602</v>
      </c>
      <c r="Q179" s="3" t="str">
        <f t="shared" si="1"/>
        <v/>
      </c>
      <c r="R179" s="3" t="str">
        <f t="shared" si="2"/>
        <v/>
      </c>
      <c r="S179" s="3" t="str">
        <f t="shared" si="3"/>
        <v/>
      </c>
      <c r="T179" s="3" t="str">
        <f t="shared" si="4"/>
        <v/>
      </c>
      <c r="U179" s="3">
        <f t="shared" si="12"/>
        <v>94</v>
      </c>
      <c r="V179" s="3">
        <f t="shared" si="6"/>
        <v>90</v>
      </c>
      <c r="W179" s="3">
        <f t="shared" si="7"/>
        <v>98</v>
      </c>
      <c r="X179" s="3" t="str">
        <f t="shared" si="8"/>
        <v/>
      </c>
      <c r="Y179" s="3" t="str">
        <f t="shared" si="9"/>
        <v/>
      </c>
      <c r="Z179" s="3" t="str">
        <f t="shared" si="10"/>
        <v/>
      </c>
      <c r="AA179" s="3">
        <f t="shared" si="11"/>
        <v>0</v>
      </c>
    </row>
    <row r="180">
      <c r="A180" s="1" t="s">
        <v>1603</v>
      </c>
      <c r="B180" s="2" t="s">
        <v>28</v>
      </c>
      <c r="C180" s="2" t="s">
        <v>1604</v>
      </c>
      <c r="D180" s="2" t="s">
        <v>1605</v>
      </c>
      <c r="E180" s="2" t="s">
        <v>1606</v>
      </c>
      <c r="F180" s="2" t="s">
        <v>1607</v>
      </c>
      <c r="G180" s="2" t="s">
        <v>1608</v>
      </c>
      <c r="H180" s="2" t="s">
        <v>1609</v>
      </c>
      <c r="I180" s="2" t="s">
        <v>1610</v>
      </c>
      <c r="J180" s="2" t="s">
        <v>1611</v>
      </c>
      <c r="K180" s="2" t="s">
        <v>1612</v>
      </c>
      <c r="L180" s="2" t="s">
        <v>1613</v>
      </c>
      <c r="M180" s="2" t="s">
        <v>1614</v>
      </c>
      <c r="N180" s="2" t="s">
        <v>1615</v>
      </c>
      <c r="O180" s="2" t="s">
        <v>1616</v>
      </c>
      <c r="P180" s="2" t="s">
        <v>1617</v>
      </c>
      <c r="Q180" s="3">
        <f t="shared" si="1"/>
        <v>5</v>
      </c>
      <c r="R180" s="3">
        <f t="shared" si="2"/>
        <v>0.06927984</v>
      </c>
      <c r="S180" s="3">
        <f t="shared" si="3"/>
        <v>-0.24019527</v>
      </c>
      <c r="T180" s="3">
        <f t="shared" si="4"/>
        <v>0.286836476</v>
      </c>
      <c r="U180" s="3">
        <f t="shared" si="12"/>
        <v>64</v>
      </c>
      <c r="V180" s="3">
        <f t="shared" si="6"/>
        <v>52</v>
      </c>
      <c r="W180" s="3">
        <f t="shared" si="7"/>
        <v>85</v>
      </c>
      <c r="X180" s="3" t="str">
        <f t="shared" si="8"/>
        <v/>
      </c>
      <c r="Y180" s="3" t="str">
        <f t="shared" si="9"/>
        <v/>
      </c>
      <c r="Z180" s="3" t="str">
        <f t="shared" si="10"/>
        <v/>
      </c>
      <c r="AA180" s="3">
        <f t="shared" si="11"/>
        <v>-0.527031746</v>
      </c>
    </row>
    <row r="181">
      <c r="A181" s="1" t="s">
        <v>1603</v>
      </c>
      <c r="B181" s="2" t="s">
        <v>43</v>
      </c>
      <c r="C181" s="2" t="s">
        <v>1618</v>
      </c>
      <c r="D181" s="2" t="s">
        <v>1619</v>
      </c>
      <c r="E181" s="2" t="s">
        <v>1620</v>
      </c>
      <c r="F181" s="2" t="s">
        <v>1621</v>
      </c>
      <c r="G181" s="2" t="s">
        <v>1622</v>
      </c>
      <c r="H181" s="2" t="s">
        <v>1623</v>
      </c>
      <c r="I181" s="2" t="s">
        <v>1624</v>
      </c>
      <c r="J181" s="2" t="s">
        <v>1625</v>
      </c>
      <c r="K181" s="2" t="s">
        <v>1626</v>
      </c>
      <c r="L181" s="2" t="s">
        <v>1627</v>
      </c>
      <c r="M181" s="2" t="s">
        <v>1628</v>
      </c>
      <c r="N181" s="2" t="s">
        <v>1629</v>
      </c>
      <c r="O181" s="2" t="s">
        <v>1630</v>
      </c>
      <c r="P181" s="2" t="s">
        <v>55</v>
      </c>
      <c r="Q181" s="3" t="str">
        <f t="shared" si="1"/>
        <v/>
      </c>
      <c r="R181" s="3" t="str">
        <f t="shared" si="2"/>
        <v/>
      </c>
      <c r="S181" s="3" t="str">
        <f t="shared" si="3"/>
        <v/>
      </c>
      <c r="T181" s="3" t="str">
        <f t="shared" si="4"/>
        <v/>
      </c>
      <c r="U181" s="3">
        <f t="shared" si="12"/>
        <v>64</v>
      </c>
      <c r="V181" s="3">
        <f t="shared" si="6"/>
        <v>51</v>
      </c>
      <c r="W181" s="3">
        <f t="shared" si="7"/>
        <v>87</v>
      </c>
      <c r="X181" s="3" t="str">
        <f t="shared" si="8"/>
        <v/>
      </c>
      <c r="Y181" s="3" t="str">
        <f t="shared" si="9"/>
        <v/>
      </c>
      <c r="Z181" s="3" t="str">
        <f t="shared" si="10"/>
        <v/>
      </c>
      <c r="AA181" s="3">
        <f t="shared" si="11"/>
        <v>0</v>
      </c>
    </row>
    <row r="182">
      <c r="A182" s="1" t="s">
        <v>1631</v>
      </c>
      <c r="B182" s="2" t="s">
        <v>28</v>
      </c>
      <c r="C182" s="2" t="s">
        <v>1632</v>
      </c>
      <c r="D182" s="2" t="s">
        <v>1633</v>
      </c>
      <c r="E182" s="2" t="s">
        <v>1634</v>
      </c>
      <c r="F182" s="2" t="s">
        <v>1635</v>
      </c>
      <c r="G182" s="2" t="s">
        <v>1636</v>
      </c>
      <c r="H182" s="2" t="s">
        <v>1637</v>
      </c>
      <c r="I182" s="2" t="s">
        <v>1638</v>
      </c>
      <c r="J182" s="2" t="s">
        <v>1639</v>
      </c>
      <c r="K182" s="2" t="s">
        <v>1640</v>
      </c>
      <c r="L182" s="2" t="s">
        <v>1641</v>
      </c>
      <c r="M182" s="2" t="s">
        <v>1642</v>
      </c>
      <c r="N182" s="2" t="s">
        <v>1643</v>
      </c>
      <c r="O182" s="2" t="s">
        <v>1644</v>
      </c>
      <c r="P182" s="2" t="s">
        <v>1645</v>
      </c>
      <c r="Q182" s="3">
        <f t="shared" si="1"/>
        <v>5</v>
      </c>
      <c r="R182" s="3">
        <f t="shared" si="2"/>
        <v>0.050512918</v>
      </c>
      <c r="S182" s="3">
        <f t="shared" si="3"/>
        <v>0.28183505</v>
      </c>
      <c r="T182" s="3">
        <f t="shared" si="4"/>
        <v>-0.471876662</v>
      </c>
      <c r="U182" s="3">
        <f t="shared" si="12"/>
        <v>59</v>
      </c>
      <c r="V182" s="3">
        <f t="shared" si="6"/>
        <v>48</v>
      </c>
      <c r="W182" s="3">
        <f t="shared" si="7"/>
        <v>73</v>
      </c>
      <c r="X182" s="3" t="str">
        <f t="shared" si="8"/>
        <v/>
      </c>
      <c r="Y182" s="3" t="str">
        <f t="shared" si="9"/>
        <v/>
      </c>
      <c r="Z182" s="3" t="str">
        <f t="shared" si="10"/>
        <v/>
      </c>
      <c r="AA182" s="3">
        <f t="shared" si="11"/>
        <v>0.753711712</v>
      </c>
    </row>
    <row r="183">
      <c r="A183" s="1" t="s">
        <v>1631</v>
      </c>
      <c r="B183" s="2" t="s">
        <v>43</v>
      </c>
      <c r="C183" s="2" t="s">
        <v>1646</v>
      </c>
      <c r="D183" s="2" t="s">
        <v>1647</v>
      </c>
      <c r="E183" s="2" t="s">
        <v>1648</v>
      </c>
      <c r="F183" s="2" t="s">
        <v>1649</v>
      </c>
      <c r="G183" s="2" t="s">
        <v>1650</v>
      </c>
      <c r="H183" s="2" t="s">
        <v>1651</v>
      </c>
      <c r="I183" s="2" t="s">
        <v>1652</v>
      </c>
      <c r="J183" s="2" t="s">
        <v>1653</v>
      </c>
      <c r="K183" s="2" t="s">
        <v>1654</v>
      </c>
      <c r="L183" s="2" t="s">
        <v>1655</v>
      </c>
      <c r="M183" s="2" t="s">
        <v>1656</v>
      </c>
      <c r="N183" s="2" t="s">
        <v>1657</v>
      </c>
      <c r="O183" s="2" t="s">
        <v>1658</v>
      </c>
      <c r="P183" s="2" t="s">
        <v>1659</v>
      </c>
      <c r="Q183" s="3" t="str">
        <f t="shared" si="1"/>
        <v/>
      </c>
      <c r="R183" s="3" t="str">
        <f t="shared" si="2"/>
        <v/>
      </c>
      <c r="S183" s="3" t="str">
        <f t="shared" si="3"/>
        <v/>
      </c>
      <c r="T183" s="3" t="str">
        <f t="shared" si="4"/>
        <v/>
      </c>
      <c r="U183" s="3">
        <f t="shared" si="12"/>
        <v>59</v>
      </c>
      <c r="V183" s="3">
        <f t="shared" si="6"/>
        <v>50</v>
      </c>
      <c r="W183" s="3">
        <f t="shared" si="7"/>
        <v>71</v>
      </c>
      <c r="X183" s="3" t="str">
        <f t="shared" si="8"/>
        <v/>
      </c>
      <c r="Y183" s="3" t="str">
        <f t="shared" si="9"/>
        <v/>
      </c>
      <c r="Z183" s="3" t="str">
        <f t="shared" si="10"/>
        <v/>
      </c>
      <c r="AA183" s="3">
        <f t="shared" si="11"/>
        <v>0</v>
      </c>
    </row>
    <row r="184">
      <c r="A184" s="1" t="s">
        <v>1660</v>
      </c>
      <c r="B184" s="2" t="s">
        <v>28</v>
      </c>
      <c r="C184" s="2" t="s">
        <v>1661</v>
      </c>
      <c r="D184" s="2" t="s">
        <v>1662</v>
      </c>
      <c r="E184" s="2" t="s">
        <v>1663</v>
      </c>
      <c r="F184" s="2" t="s">
        <v>1664</v>
      </c>
      <c r="G184" s="2" t="s">
        <v>1665</v>
      </c>
      <c r="H184" s="2" t="s">
        <v>1666</v>
      </c>
      <c r="I184" s="2" t="s">
        <v>1667</v>
      </c>
      <c r="J184" s="2" t="s">
        <v>1668</v>
      </c>
      <c r="K184" s="2" t="s">
        <v>1669</v>
      </c>
      <c r="L184" s="2" t="s">
        <v>1670</v>
      </c>
      <c r="M184" s="2" t="s">
        <v>54</v>
      </c>
      <c r="N184" s="2" t="s">
        <v>55</v>
      </c>
      <c r="O184" s="2" t="s">
        <v>55</v>
      </c>
      <c r="P184" s="2" t="s">
        <v>55</v>
      </c>
      <c r="Q184" s="3">
        <f t="shared" si="1"/>
        <v>5</v>
      </c>
      <c r="R184" s="3">
        <f t="shared" si="2"/>
        <v>0.07858998</v>
      </c>
      <c r="S184" s="3">
        <f t="shared" si="3"/>
        <v>0.101144158</v>
      </c>
      <c r="T184" s="3">
        <f t="shared" si="4"/>
        <v>0</v>
      </c>
      <c r="U184" s="3">
        <f t="shared" si="12"/>
        <v>95</v>
      </c>
      <c r="V184" s="3">
        <f t="shared" si="6"/>
        <v>93</v>
      </c>
      <c r="W184" s="3">
        <f t="shared" si="7"/>
        <v>100</v>
      </c>
      <c r="X184" s="3" t="str">
        <f t="shared" si="8"/>
        <v/>
      </c>
      <c r="Y184" s="3" t="str">
        <f t="shared" si="9"/>
        <v/>
      </c>
      <c r="Z184" s="3" t="str">
        <f t="shared" si="10"/>
        <v>full access</v>
      </c>
      <c r="AA184" s="3">
        <f t="shared" si="11"/>
        <v>0.101144158</v>
      </c>
    </row>
    <row r="185">
      <c r="A185" s="1" t="s">
        <v>1660</v>
      </c>
      <c r="B185" s="2" t="s">
        <v>43</v>
      </c>
      <c r="C185" s="2" t="s">
        <v>1671</v>
      </c>
      <c r="D185" s="2" t="s">
        <v>1672</v>
      </c>
      <c r="E185" s="2" t="s">
        <v>1673</v>
      </c>
      <c r="F185" s="2" t="s">
        <v>1674</v>
      </c>
      <c r="G185" s="2" t="s">
        <v>1675</v>
      </c>
      <c r="H185" s="2" t="s">
        <v>1676</v>
      </c>
      <c r="I185" s="2" t="s">
        <v>1677</v>
      </c>
      <c r="J185" s="2" t="s">
        <v>1678</v>
      </c>
      <c r="K185" s="2" t="s">
        <v>1679</v>
      </c>
      <c r="L185" s="2" t="s">
        <v>1680</v>
      </c>
      <c r="M185" s="2" t="s">
        <v>54</v>
      </c>
      <c r="N185" s="2" t="s">
        <v>55</v>
      </c>
      <c r="O185" s="2" t="s">
        <v>55</v>
      </c>
      <c r="P185" s="2" t="s">
        <v>55</v>
      </c>
      <c r="Q185" s="3" t="str">
        <f t="shared" si="1"/>
        <v/>
      </c>
      <c r="R185" s="3" t="str">
        <f t="shared" si="2"/>
        <v/>
      </c>
      <c r="S185" s="3" t="str">
        <f t="shared" si="3"/>
        <v/>
      </c>
      <c r="T185" s="3" t="str">
        <f t="shared" si="4"/>
        <v/>
      </c>
      <c r="U185" s="3">
        <f t="shared" si="12"/>
        <v>96</v>
      </c>
      <c r="V185" s="3">
        <f t="shared" si="6"/>
        <v>94</v>
      </c>
      <c r="W185" s="3">
        <f t="shared" si="7"/>
        <v>100</v>
      </c>
      <c r="X185" s="3" t="str">
        <f t="shared" si="8"/>
        <v/>
      </c>
      <c r="Y185" s="3" t="str">
        <f t="shared" si="9"/>
        <v/>
      </c>
      <c r="Z185" s="3" t="str">
        <f t="shared" si="10"/>
        <v/>
      </c>
      <c r="AA185" s="3">
        <f t="shared" si="11"/>
        <v>0</v>
      </c>
    </row>
    <row r="186">
      <c r="A186" s="1" t="s">
        <v>1681</v>
      </c>
      <c r="B186" s="2" t="s">
        <v>28</v>
      </c>
      <c r="C186" s="2" t="s">
        <v>1682</v>
      </c>
      <c r="D186" s="2" t="s">
        <v>1683</v>
      </c>
      <c r="E186" s="2" t="s">
        <v>1684</v>
      </c>
      <c r="F186" s="2" t="s">
        <v>1685</v>
      </c>
      <c r="G186" s="2" t="s">
        <v>1686</v>
      </c>
      <c r="H186" s="2" t="s">
        <v>1687</v>
      </c>
      <c r="I186" s="2" t="s">
        <v>1688</v>
      </c>
      <c r="J186" s="2" t="s">
        <v>1689</v>
      </c>
      <c r="K186" s="2" t="s">
        <v>1690</v>
      </c>
      <c r="L186" s="2" t="s">
        <v>1691</v>
      </c>
      <c r="M186" s="2" t="s">
        <v>1692</v>
      </c>
      <c r="N186" s="2" t="s">
        <v>1693</v>
      </c>
      <c r="O186" s="2" t="s">
        <v>1694</v>
      </c>
      <c r="P186" s="2" t="s">
        <v>55</v>
      </c>
      <c r="Q186" s="3">
        <f t="shared" si="1"/>
        <v>5</v>
      </c>
      <c r="R186" s="3">
        <f t="shared" si="2"/>
        <v>0.425564492</v>
      </c>
      <c r="S186" s="3">
        <f t="shared" si="3"/>
        <v>0.08585641</v>
      </c>
      <c r="T186" s="3">
        <f t="shared" si="4"/>
        <v>-0.009011568</v>
      </c>
      <c r="U186" s="3">
        <f t="shared" si="12"/>
        <v>65</v>
      </c>
      <c r="V186" s="3">
        <f t="shared" si="6"/>
        <v>42</v>
      </c>
      <c r="W186" s="3">
        <f t="shared" si="7"/>
        <v>85</v>
      </c>
      <c r="X186" s="3" t="str">
        <f t="shared" si="8"/>
        <v/>
      </c>
      <c r="Y186" s="3" t="str">
        <f t="shared" si="9"/>
        <v/>
      </c>
      <c r="Z186" s="3" t="str">
        <f t="shared" si="10"/>
        <v/>
      </c>
      <c r="AA186" s="3">
        <f t="shared" si="11"/>
        <v>0.094867978</v>
      </c>
    </row>
    <row r="187">
      <c r="A187" s="1" t="s">
        <v>1681</v>
      </c>
      <c r="B187" s="2" t="s">
        <v>43</v>
      </c>
      <c r="C187" s="2" t="s">
        <v>1695</v>
      </c>
      <c r="D187" s="2" t="s">
        <v>1696</v>
      </c>
      <c r="E187" s="2" t="s">
        <v>1697</v>
      </c>
      <c r="F187" s="2" t="s">
        <v>1698</v>
      </c>
      <c r="G187" s="2" t="s">
        <v>1699</v>
      </c>
      <c r="H187" s="2" t="s">
        <v>55</v>
      </c>
      <c r="I187" s="2" t="s">
        <v>1700</v>
      </c>
      <c r="J187" s="2" t="s">
        <v>1701</v>
      </c>
      <c r="K187" s="2" t="s">
        <v>1702</v>
      </c>
      <c r="L187" s="2" t="s">
        <v>55</v>
      </c>
      <c r="M187" s="2" t="s">
        <v>1703</v>
      </c>
      <c r="N187" s="2" t="s">
        <v>1704</v>
      </c>
      <c r="O187" s="2" t="s">
        <v>1705</v>
      </c>
      <c r="P187" s="2" t="s">
        <v>55</v>
      </c>
      <c r="Q187" s="3" t="str">
        <f t="shared" si="1"/>
        <v/>
      </c>
      <c r="R187" s="3" t="str">
        <f t="shared" si="2"/>
        <v/>
      </c>
      <c r="S187" s="3" t="str">
        <f t="shared" si="3"/>
        <v/>
      </c>
      <c r="T187" s="3" t="str">
        <f t="shared" si="4"/>
        <v/>
      </c>
      <c r="U187" s="3">
        <f t="shared" si="12"/>
        <v>67</v>
      </c>
      <c r="V187" s="3">
        <f t="shared" si="6"/>
        <v>43</v>
      </c>
      <c r="W187" s="3">
        <f t="shared" si="7"/>
        <v>85</v>
      </c>
      <c r="X187" s="3" t="str">
        <f t="shared" si="8"/>
        <v/>
      </c>
      <c r="Y187" s="3" t="str">
        <f t="shared" si="9"/>
        <v/>
      </c>
      <c r="Z187" s="3" t="str">
        <f t="shared" si="10"/>
        <v/>
      </c>
      <c r="AA187" s="3">
        <f t="shared" si="11"/>
        <v>0</v>
      </c>
    </row>
    <row r="188">
      <c r="A188" s="1" t="s">
        <v>1706</v>
      </c>
      <c r="B188" s="2" t="s">
        <v>28</v>
      </c>
      <c r="C188" s="2" t="s">
        <v>1707</v>
      </c>
      <c r="D188" s="2" t="s">
        <v>1708</v>
      </c>
      <c r="E188" s="2" t="s">
        <v>1709</v>
      </c>
      <c r="F188" s="2" t="s">
        <v>1710</v>
      </c>
      <c r="G188" s="2" t="s">
        <v>1711</v>
      </c>
      <c r="H188" s="2" t="s">
        <v>1712</v>
      </c>
      <c r="I188" s="2" t="s">
        <v>1713</v>
      </c>
      <c r="J188" s="2" t="s">
        <v>1714</v>
      </c>
      <c r="K188" s="2" t="s">
        <v>1715</v>
      </c>
      <c r="L188" s="2" t="s">
        <v>1716</v>
      </c>
      <c r="M188" s="2" t="s">
        <v>1717</v>
      </c>
      <c r="N188" s="2" t="s">
        <v>1718</v>
      </c>
      <c r="O188" s="2" t="s">
        <v>1719</v>
      </c>
      <c r="P188" s="2" t="s">
        <v>1720</v>
      </c>
      <c r="Q188" s="3">
        <f t="shared" si="1"/>
        <v>5</v>
      </c>
      <c r="R188" s="3">
        <f t="shared" si="2"/>
        <v>0.486962084</v>
      </c>
      <c r="S188" s="3">
        <f t="shared" si="3"/>
        <v>0.68774516</v>
      </c>
      <c r="T188" s="3">
        <f t="shared" si="4"/>
        <v>0.208424026</v>
      </c>
      <c r="U188" s="3">
        <f t="shared" si="12"/>
        <v>93</v>
      </c>
      <c r="V188" s="3">
        <f t="shared" si="6"/>
        <v>86</v>
      </c>
      <c r="W188" s="3">
        <f t="shared" si="7"/>
        <v>99</v>
      </c>
      <c r="X188" s="3" t="str">
        <f t="shared" si="8"/>
        <v/>
      </c>
      <c r="Y188" s="3" t="str">
        <f t="shared" si="9"/>
        <v/>
      </c>
      <c r="Z188" s="3" t="str">
        <f t="shared" si="10"/>
        <v/>
      </c>
      <c r="AA188" s="3">
        <f t="shared" si="11"/>
        <v>0.479321134</v>
      </c>
    </row>
    <row r="189">
      <c r="A189" s="1" t="s">
        <v>1706</v>
      </c>
      <c r="B189" s="2" t="s">
        <v>43</v>
      </c>
      <c r="C189" s="2" t="s">
        <v>1721</v>
      </c>
      <c r="D189" s="2" t="s">
        <v>1722</v>
      </c>
      <c r="E189" s="2" t="s">
        <v>1723</v>
      </c>
      <c r="F189" s="2" t="s">
        <v>1724</v>
      </c>
      <c r="G189" s="2" t="s">
        <v>1725</v>
      </c>
      <c r="H189" s="2" t="s">
        <v>55</v>
      </c>
      <c r="I189" s="2" t="s">
        <v>1726</v>
      </c>
      <c r="J189" s="2" t="s">
        <v>1727</v>
      </c>
      <c r="K189" s="2" t="s">
        <v>1728</v>
      </c>
      <c r="L189" s="2" t="s">
        <v>55</v>
      </c>
      <c r="M189" s="2" t="s">
        <v>1729</v>
      </c>
      <c r="N189" s="2" t="s">
        <v>1730</v>
      </c>
      <c r="O189" s="2" t="s">
        <v>1731</v>
      </c>
      <c r="P189" s="2" t="s">
        <v>55</v>
      </c>
      <c r="Q189" s="3" t="str">
        <f t="shared" si="1"/>
        <v/>
      </c>
      <c r="R189" s="3" t="str">
        <f t="shared" si="2"/>
        <v/>
      </c>
      <c r="S189" s="3" t="str">
        <f t="shared" si="3"/>
        <v/>
      </c>
      <c r="T189" s="3" t="str">
        <f t="shared" si="4"/>
        <v/>
      </c>
      <c r="U189" s="3">
        <f t="shared" si="12"/>
        <v>96</v>
      </c>
      <c r="V189" s="3">
        <f t="shared" si="6"/>
        <v>90</v>
      </c>
      <c r="W189" s="3">
        <f t="shared" si="7"/>
        <v>100</v>
      </c>
      <c r="X189" s="3" t="str">
        <f t="shared" si="8"/>
        <v/>
      </c>
      <c r="Y189" s="3" t="str">
        <f t="shared" si="9"/>
        <v/>
      </c>
      <c r="Z189" s="3" t="str">
        <f t="shared" si="10"/>
        <v/>
      </c>
      <c r="AA189" s="3">
        <f t="shared" si="11"/>
        <v>0</v>
      </c>
    </row>
    <row r="190">
      <c r="A190" s="1" t="s">
        <v>1732</v>
      </c>
      <c r="B190" s="2" t="s">
        <v>28</v>
      </c>
      <c r="C190" s="2" t="s">
        <v>1733</v>
      </c>
      <c r="D190" s="2" t="s">
        <v>1734</v>
      </c>
      <c r="E190" s="2" t="s">
        <v>1735</v>
      </c>
      <c r="F190" s="2" t="s">
        <v>55</v>
      </c>
      <c r="G190" s="2" t="s">
        <v>1736</v>
      </c>
      <c r="H190" s="2" t="s">
        <v>55</v>
      </c>
      <c r="I190" s="2" t="s">
        <v>1737</v>
      </c>
      <c r="J190" s="2" t="s">
        <v>55</v>
      </c>
      <c r="K190" s="2" t="s">
        <v>1738</v>
      </c>
      <c r="L190" s="2" t="s">
        <v>55</v>
      </c>
      <c r="M190" s="2" t="s">
        <v>54</v>
      </c>
      <c r="N190" s="2" t="s">
        <v>55</v>
      </c>
      <c r="O190" s="2" t="s">
        <v>55</v>
      </c>
      <c r="P190" s="2" t="s">
        <v>55</v>
      </c>
      <c r="Q190" s="3">
        <f t="shared" si="1"/>
        <v>5</v>
      </c>
      <c r="R190" s="3">
        <f t="shared" si="2"/>
        <v>0.005893702</v>
      </c>
      <c r="S190" s="3">
        <f t="shared" si="3"/>
        <v>0.019982056</v>
      </c>
      <c r="T190" s="3">
        <f t="shared" si="4"/>
        <v>0</v>
      </c>
      <c r="U190" s="3">
        <f t="shared" si="12"/>
        <v>100</v>
      </c>
      <c r="V190" s="3">
        <f t="shared" si="6"/>
        <v>100</v>
      </c>
      <c r="W190" s="3">
        <f t="shared" si="7"/>
        <v>100</v>
      </c>
      <c r="X190" s="3" t="str">
        <f t="shared" si="8"/>
        <v>full access</v>
      </c>
      <c r="Y190" s="3" t="str">
        <f t="shared" si="9"/>
        <v>full access</v>
      </c>
      <c r="Z190" s="3" t="str">
        <f t="shared" si="10"/>
        <v>full access</v>
      </c>
      <c r="AA190" s="3">
        <f t="shared" si="11"/>
        <v>0.019982056</v>
      </c>
    </row>
    <row r="191">
      <c r="A191" s="1" t="s">
        <v>1732</v>
      </c>
      <c r="B191" s="2" t="s">
        <v>43</v>
      </c>
      <c r="C191" s="2" t="s">
        <v>1739</v>
      </c>
      <c r="D191" s="2" t="s">
        <v>1740</v>
      </c>
      <c r="E191" s="2" t="s">
        <v>1741</v>
      </c>
      <c r="F191" s="2" t="s">
        <v>55</v>
      </c>
      <c r="G191" s="2" t="s">
        <v>1742</v>
      </c>
      <c r="H191" s="2" t="s">
        <v>55</v>
      </c>
      <c r="I191" s="2" t="s">
        <v>54</v>
      </c>
      <c r="J191" s="2" t="s">
        <v>55</v>
      </c>
      <c r="K191" s="2" t="s">
        <v>55</v>
      </c>
      <c r="L191" s="2" t="s">
        <v>55</v>
      </c>
      <c r="M191" s="2" t="s">
        <v>54</v>
      </c>
      <c r="N191" s="2" t="s">
        <v>55</v>
      </c>
      <c r="O191" s="2" t="s">
        <v>55</v>
      </c>
      <c r="P191" s="2" t="s">
        <v>55</v>
      </c>
      <c r="Q191" s="3" t="str">
        <f t="shared" si="1"/>
        <v/>
      </c>
      <c r="R191" s="3" t="str">
        <f t="shared" si="2"/>
        <v/>
      </c>
      <c r="S191" s="3" t="str">
        <f t="shared" si="3"/>
        <v/>
      </c>
      <c r="T191" s="3" t="str">
        <f t="shared" si="4"/>
        <v/>
      </c>
      <c r="U191" s="3">
        <f t="shared" si="12"/>
        <v>100</v>
      </c>
      <c r="V191" s="3">
        <f t="shared" si="6"/>
        <v>100</v>
      </c>
      <c r="W191" s="3">
        <f t="shared" si="7"/>
        <v>100</v>
      </c>
      <c r="X191" s="3" t="str">
        <f t="shared" si="8"/>
        <v/>
      </c>
      <c r="Y191" s="3" t="str">
        <f t="shared" si="9"/>
        <v/>
      </c>
      <c r="Z191" s="3" t="str">
        <f t="shared" si="10"/>
        <v/>
      </c>
      <c r="AA191" s="3">
        <f t="shared" si="11"/>
        <v>0</v>
      </c>
    </row>
    <row r="192">
      <c r="A192" s="1" t="s">
        <v>1743</v>
      </c>
      <c r="B192" s="2" t="s">
        <v>28</v>
      </c>
      <c r="C192" s="2" t="s">
        <v>1744</v>
      </c>
      <c r="D192" s="2" t="s">
        <v>1745</v>
      </c>
      <c r="E192" s="2" t="s">
        <v>1505</v>
      </c>
      <c r="F192" s="2" t="s">
        <v>55</v>
      </c>
      <c r="G192" s="2" t="s">
        <v>55</v>
      </c>
      <c r="H192" s="2" t="s">
        <v>55</v>
      </c>
      <c r="I192" s="2" t="s">
        <v>54</v>
      </c>
      <c r="J192" s="2" t="s">
        <v>55</v>
      </c>
      <c r="K192" s="2" t="s">
        <v>55</v>
      </c>
      <c r="L192" s="2" t="s">
        <v>55</v>
      </c>
      <c r="M192" s="2" t="s">
        <v>54</v>
      </c>
      <c r="N192" s="2" t="s">
        <v>55</v>
      </c>
      <c r="O192" s="2" t="s">
        <v>55</v>
      </c>
      <c r="P192" s="2" t="s">
        <v>55</v>
      </c>
      <c r="Q192" s="3">
        <f t="shared" si="1"/>
        <v>5</v>
      </c>
      <c r="R192" s="3">
        <f t="shared" si="2"/>
        <v>-0.000001018</v>
      </c>
      <c r="S192" s="3">
        <f t="shared" si="3"/>
        <v>0</v>
      </c>
      <c r="T192" s="3">
        <f t="shared" si="4"/>
        <v>0</v>
      </c>
      <c r="U192" s="3">
        <f t="shared" si="12"/>
        <v>100</v>
      </c>
      <c r="V192" s="3">
        <f t="shared" si="6"/>
        <v>100</v>
      </c>
      <c r="W192" s="3">
        <f t="shared" si="7"/>
        <v>100</v>
      </c>
      <c r="X192" s="3" t="str">
        <f t="shared" si="8"/>
        <v>full access</v>
      </c>
      <c r="Y192" s="3" t="str">
        <f t="shared" si="9"/>
        <v>full access</v>
      </c>
      <c r="Z192" s="3" t="str">
        <f t="shared" si="10"/>
        <v>full access</v>
      </c>
      <c r="AA192" s="3">
        <f t="shared" si="11"/>
        <v>0</v>
      </c>
    </row>
    <row r="193">
      <c r="A193" s="1" t="s">
        <v>1743</v>
      </c>
      <c r="B193" s="2" t="s">
        <v>43</v>
      </c>
      <c r="C193" s="2" t="s">
        <v>1746</v>
      </c>
      <c r="D193" s="2" t="s">
        <v>1747</v>
      </c>
      <c r="E193" s="2" t="s">
        <v>1748</v>
      </c>
      <c r="F193" s="2" t="s">
        <v>55</v>
      </c>
      <c r="G193" s="2" t="s">
        <v>1749</v>
      </c>
      <c r="H193" s="2" t="s">
        <v>55</v>
      </c>
      <c r="I193" s="2" t="s">
        <v>54</v>
      </c>
      <c r="J193" s="2" t="s">
        <v>55</v>
      </c>
      <c r="K193" s="2" t="s">
        <v>55</v>
      </c>
      <c r="L193" s="2" t="s">
        <v>55</v>
      </c>
      <c r="M193" s="2" t="s">
        <v>54</v>
      </c>
      <c r="N193" s="2" t="s">
        <v>55</v>
      </c>
      <c r="O193" s="2" t="s">
        <v>55</v>
      </c>
      <c r="P193" s="2" t="s">
        <v>55</v>
      </c>
      <c r="Q193" s="3" t="str">
        <f t="shared" si="1"/>
        <v/>
      </c>
      <c r="R193" s="3" t="str">
        <f t="shared" si="2"/>
        <v/>
      </c>
      <c r="S193" s="3" t="str">
        <f t="shared" si="3"/>
        <v/>
      </c>
      <c r="T193" s="3" t="str">
        <f t="shared" si="4"/>
        <v/>
      </c>
      <c r="U193" s="3">
        <f t="shared" si="12"/>
        <v>100</v>
      </c>
      <c r="V193" s="3">
        <f t="shared" si="6"/>
        <v>100</v>
      </c>
      <c r="W193" s="3">
        <f t="shared" si="7"/>
        <v>100</v>
      </c>
      <c r="X193" s="3" t="str">
        <f t="shared" si="8"/>
        <v/>
      </c>
      <c r="Y193" s="3" t="str">
        <f t="shared" si="9"/>
        <v/>
      </c>
      <c r="Z193" s="3" t="str">
        <f t="shared" si="10"/>
        <v/>
      </c>
      <c r="AA193" s="3">
        <f t="shared" si="11"/>
        <v>0</v>
      </c>
    </row>
    <row r="194">
      <c r="A194" s="1" t="s">
        <v>1750</v>
      </c>
      <c r="B194" s="2" t="s">
        <v>28</v>
      </c>
      <c r="C194" s="2" t="s">
        <v>1751</v>
      </c>
      <c r="D194" s="2" t="s">
        <v>1752</v>
      </c>
      <c r="E194" s="2" t="s">
        <v>1753</v>
      </c>
      <c r="F194" s="2" t="s">
        <v>1754</v>
      </c>
      <c r="G194" s="2" t="s">
        <v>1755</v>
      </c>
      <c r="H194" s="2" t="s">
        <v>1756</v>
      </c>
      <c r="I194" s="2" t="s">
        <v>1757</v>
      </c>
      <c r="J194" s="2" t="s">
        <v>1758</v>
      </c>
      <c r="K194" s="2" t="s">
        <v>1759</v>
      </c>
      <c r="L194" s="2" t="s">
        <v>1760</v>
      </c>
      <c r="M194" s="2" t="s">
        <v>1761</v>
      </c>
      <c r="N194" s="2" t="s">
        <v>1762</v>
      </c>
      <c r="O194" s="2" t="s">
        <v>1763</v>
      </c>
      <c r="P194" s="2" t="s">
        <v>1764</v>
      </c>
      <c r="Q194" s="3">
        <f t="shared" si="1"/>
        <v>5</v>
      </c>
      <c r="R194" s="3">
        <f t="shared" si="2"/>
        <v>0.47027848</v>
      </c>
      <c r="S194" s="3">
        <f t="shared" si="3"/>
        <v>0.642100556</v>
      </c>
      <c r="T194" s="3">
        <f t="shared" si="4"/>
        <v>0.053794338</v>
      </c>
      <c r="U194" s="3">
        <f t="shared" si="12"/>
        <v>88</v>
      </c>
      <c r="V194" s="3">
        <f t="shared" si="6"/>
        <v>86</v>
      </c>
      <c r="W194" s="3">
        <f t="shared" si="7"/>
        <v>93</v>
      </c>
      <c r="X194" s="3" t="str">
        <f t="shared" si="8"/>
        <v/>
      </c>
      <c r="Y194" s="3" t="str">
        <f t="shared" si="9"/>
        <v/>
      </c>
      <c r="Z194" s="3" t="str">
        <f t="shared" si="10"/>
        <v/>
      </c>
      <c r="AA194" s="3">
        <f t="shared" si="11"/>
        <v>0.588306218</v>
      </c>
    </row>
    <row r="195">
      <c r="A195" s="1" t="s">
        <v>1750</v>
      </c>
      <c r="B195" s="2" t="s">
        <v>43</v>
      </c>
      <c r="C195" s="2" t="s">
        <v>1765</v>
      </c>
      <c r="D195" s="2" t="s">
        <v>1766</v>
      </c>
      <c r="E195" s="2" t="s">
        <v>1767</v>
      </c>
      <c r="F195" s="2" t="s">
        <v>1768</v>
      </c>
      <c r="G195" s="2" t="s">
        <v>1769</v>
      </c>
      <c r="H195" s="2" t="s">
        <v>1770</v>
      </c>
      <c r="I195" s="2" t="s">
        <v>1771</v>
      </c>
      <c r="J195" s="2" t="s">
        <v>1772</v>
      </c>
      <c r="K195" s="2" t="s">
        <v>1773</v>
      </c>
      <c r="L195" s="2" t="s">
        <v>1774</v>
      </c>
      <c r="M195" s="2" t="s">
        <v>1775</v>
      </c>
      <c r="N195" s="2" t="s">
        <v>1776</v>
      </c>
      <c r="O195" s="2" t="s">
        <v>1777</v>
      </c>
      <c r="P195" s="2" t="s">
        <v>1778</v>
      </c>
      <c r="Q195" s="3" t="str">
        <f t="shared" si="1"/>
        <v/>
      </c>
      <c r="R195" s="3" t="str">
        <f t="shared" si="2"/>
        <v/>
      </c>
      <c r="S195" s="3" t="str">
        <f t="shared" si="3"/>
        <v/>
      </c>
      <c r="T195" s="3" t="str">
        <f t="shared" si="4"/>
        <v/>
      </c>
      <c r="U195" s="3">
        <f t="shared" si="12"/>
        <v>90</v>
      </c>
      <c r="V195" s="3">
        <f t="shared" si="6"/>
        <v>89</v>
      </c>
      <c r="W195" s="3">
        <f t="shared" si="7"/>
        <v>94</v>
      </c>
      <c r="X195" s="3" t="str">
        <f t="shared" si="8"/>
        <v/>
      </c>
      <c r="Y195" s="3" t="str">
        <f t="shared" si="9"/>
        <v/>
      </c>
      <c r="Z195" s="3" t="str">
        <f t="shared" si="10"/>
        <v/>
      </c>
      <c r="AA195" s="3">
        <f t="shared" si="11"/>
        <v>0</v>
      </c>
    </row>
    <row r="196">
      <c r="A196" s="1" t="s">
        <v>1779</v>
      </c>
      <c r="B196" s="2" t="s">
        <v>28</v>
      </c>
      <c r="C196" s="2" t="s">
        <v>1780</v>
      </c>
      <c r="D196" s="2" t="s">
        <v>1781</v>
      </c>
      <c r="E196" s="2" t="s">
        <v>1782</v>
      </c>
      <c r="F196" s="2" t="s">
        <v>1783</v>
      </c>
      <c r="G196" s="2" t="s">
        <v>1784</v>
      </c>
      <c r="H196" s="2" t="s">
        <v>1785</v>
      </c>
      <c r="I196" s="2" t="s">
        <v>1786</v>
      </c>
      <c r="J196" s="2" t="s">
        <v>1787</v>
      </c>
      <c r="K196" s="2" t="s">
        <v>1788</v>
      </c>
      <c r="L196" s="2" t="s">
        <v>1789</v>
      </c>
      <c r="M196" s="2" t="s">
        <v>1790</v>
      </c>
      <c r="N196" s="2" t="s">
        <v>1791</v>
      </c>
      <c r="O196" s="2" t="s">
        <v>1792</v>
      </c>
      <c r="P196" s="2" t="s">
        <v>1793</v>
      </c>
      <c r="Q196" s="3">
        <f t="shared" si="1"/>
        <v>5</v>
      </c>
      <c r="R196" s="3">
        <f t="shared" si="2"/>
        <v>0.77759933</v>
      </c>
      <c r="S196" s="3">
        <f t="shared" si="3"/>
        <v>1.007434238</v>
      </c>
      <c r="T196" s="3">
        <f t="shared" si="4"/>
        <v>0.427604062</v>
      </c>
      <c r="U196" s="3">
        <f t="shared" si="12"/>
        <v>89</v>
      </c>
      <c r="V196" s="3">
        <f t="shared" si="6"/>
        <v>81</v>
      </c>
      <c r="W196" s="3">
        <f t="shared" si="7"/>
        <v>95</v>
      </c>
      <c r="X196" s="3" t="str">
        <f t="shared" si="8"/>
        <v/>
      </c>
      <c r="Y196" s="3" t="str">
        <f t="shared" si="9"/>
        <v/>
      </c>
      <c r="Z196" s="3" t="str">
        <f t="shared" si="10"/>
        <v/>
      </c>
      <c r="AA196" s="3">
        <f t="shared" si="11"/>
        <v>0.579830176</v>
      </c>
    </row>
    <row r="197">
      <c r="A197" s="1" t="s">
        <v>1779</v>
      </c>
      <c r="B197" s="2" t="s">
        <v>43</v>
      </c>
      <c r="C197" s="2" t="s">
        <v>1794</v>
      </c>
      <c r="D197" s="2" t="s">
        <v>1795</v>
      </c>
      <c r="E197" s="2" t="s">
        <v>1796</v>
      </c>
      <c r="F197" s="2" t="s">
        <v>1797</v>
      </c>
      <c r="G197" s="2" t="s">
        <v>1798</v>
      </c>
      <c r="H197" s="2" t="s">
        <v>1799</v>
      </c>
      <c r="I197" s="2" t="s">
        <v>1800</v>
      </c>
      <c r="J197" s="2" t="s">
        <v>1801</v>
      </c>
      <c r="K197" s="2" t="s">
        <v>1802</v>
      </c>
      <c r="L197" s="2" t="s">
        <v>1803</v>
      </c>
      <c r="M197" s="2" t="s">
        <v>1804</v>
      </c>
      <c r="N197" s="2" t="s">
        <v>1805</v>
      </c>
      <c r="O197" s="2" t="s">
        <v>1806</v>
      </c>
      <c r="P197" s="2" t="s">
        <v>1807</v>
      </c>
      <c r="Q197" s="3" t="str">
        <f t="shared" si="1"/>
        <v/>
      </c>
      <c r="R197" s="3" t="str">
        <f t="shared" si="2"/>
        <v/>
      </c>
      <c r="S197" s="3" t="str">
        <f t="shared" si="3"/>
        <v/>
      </c>
      <c r="T197" s="3" t="str">
        <f t="shared" si="4"/>
        <v/>
      </c>
      <c r="U197" s="3">
        <f t="shared" si="12"/>
        <v>92</v>
      </c>
      <c r="V197" s="3">
        <f t="shared" si="6"/>
        <v>86</v>
      </c>
      <c r="W197" s="3">
        <f t="shared" si="7"/>
        <v>98</v>
      </c>
      <c r="X197" s="3" t="str">
        <f t="shared" si="8"/>
        <v/>
      </c>
      <c r="Y197" s="3" t="str">
        <f t="shared" si="9"/>
        <v/>
      </c>
      <c r="Z197" s="3" t="str">
        <f t="shared" si="10"/>
        <v/>
      </c>
      <c r="AA197" s="3">
        <f t="shared" si="11"/>
        <v>0</v>
      </c>
    </row>
    <row r="198">
      <c r="A198" s="1" t="s">
        <v>1808</v>
      </c>
      <c r="B198" s="2" t="s">
        <v>28</v>
      </c>
      <c r="C198" s="2" t="s">
        <v>1809</v>
      </c>
      <c r="D198" s="2" t="s">
        <v>1810</v>
      </c>
      <c r="E198" s="2" t="s">
        <v>1811</v>
      </c>
      <c r="F198" s="2" t="s">
        <v>1812</v>
      </c>
      <c r="G198" s="2" t="s">
        <v>1813</v>
      </c>
      <c r="H198" s="2" t="s">
        <v>1814</v>
      </c>
      <c r="I198" s="2" t="s">
        <v>1815</v>
      </c>
      <c r="J198" s="2" t="s">
        <v>1816</v>
      </c>
      <c r="K198" s="2" t="s">
        <v>1817</v>
      </c>
      <c r="L198" s="2" t="s">
        <v>1818</v>
      </c>
      <c r="M198" s="2" t="s">
        <v>1819</v>
      </c>
      <c r="N198" s="2" t="s">
        <v>1820</v>
      </c>
      <c r="O198" s="2" t="s">
        <v>1821</v>
      </c>
      <c r="P198" s="2" t="s">
        <v>55</v>
      </c>
      <c r="Q198" s="3">
        <f t="shared" si="1"/>
        <v>5</v>
      </c>
      <c r="R198" s="3">
        <f t="shared" si="2"/>
        <v>0.13512985</v>
      </c>
      <c r="S198" s="3">
        <f t="shared" si="3"/>
        <v>0.333246546</v>
      </c>
      <c r="T198" s="3">
        <f t="shared" si="4"/>
        <v>0.03014517</v>
      </c>
      <c r="U198" s="3">
        <f t="shared" si="12"/>
        <v>97</v>
      </c>
      <c r="V198" s="3">
        <f t="shared" si="6"/>
        <v>92</v>
      </c>
      <c r="W198" s="3">
        <f t="shared" si="7"/>
        <v>98</v>
      </c>
      <c r="X198" s="3" t="str">
        <f t="shared" si="8"/>
        <v/>
      </c>
      <c r="Y198" s="3" t="str">
        <f t="shared" si="9"/>
        <v/>
      </c>
      <c r="Z198" s="3" t="str">
        <f t="shared" si="10"/>
        <v/>
      </c>
      <c r="AA198" s="3">
        <f t="shared" si="11"/>
        <v>0.303101376</v>
      </c>
    </row>
    <row r="199">
      <c r="A199" s="1" t="s">
        <v>1808</v>
      </c>
      <c r="B199" s="2" t="s">
        <v>43</v>
      </c>
      <c r="C199" s="2" t="s">
        <v>1822</v>
      </c>
      <c r="D199" s="2" t="s">
        <v>1823</v>
      </c>
      <c r="E199" s="2" t="s">
        <v>1824</v>
      </c>
      <c r="F199" s="2" t="s">
        <v>1825</v>
      </c>
      <c r="G199" s="2" t="s">
        <v>1826</v>
      </c>
      <c r="H199" s="2" t="s">
        <v>1827</v>
      </c>
      <c r="I199" s="2" t="s">
        <v>1828</v>
      </c>
      <c r="J199" s="2" t="s">
        <v>1829</v>
      </c>
      <c r="K199" s="2" t="s">
        <v>1830</v>
      </c>
      <c r="L199" s="2" t="s">
        <v>1818</v>
      </c>
      <c r="M199" s="2" t="s">
        <v>1831</v>
      </c>
      <c r="N199" s="2" t="s">
        <v>1832</v>
      </c>
      <c r="O199" s="2" t="s">
        <v>1833</v>
      </c>
      <c r="P199" s="2" t="s">
        <v>55</v>
      </c>
      <c r="Q199" s="3" t="str">
        <f t="shared" si="1"/>
        <v/>
      </c>
      <c r="R199" s="3" t="str">
        <f t="shared" si="2"/>
        <v/>
      </c>
      <c r="S199" s="3" t="str">
        <f t="shared" si="3"/>
        <v/>
      </c>
      <c r="T199" s="3" t="str">
        <f t="shared" si="4"/>
        <v/>
      </c>
      <c r="U199" s="3">
        <f t="shared" si="12"/>
        <v>97</v>
      </c>
      <c r="V199" s="3">
        <f t="shared" si="6"/>
        <v>94</v>
      </c>
      <c r="W199" s="3">
        <f t="shared" si="7"/>
        <v>99</v>
      </c>
      <c r="X199" s="3" t="str">
        <f t="shared" si="8"/>
        <v/>
      </c>
      <c r="Y199" s="3" t="str">
        <f t="shared" si="9"/>
        <v/>
      </c>
      <c r="Z199" s="3" t="str">
        <f t="shared" si="10"/>
        <v/>
      </c>
      <c r="AA199" s="3">
        <f t="shared" si="11"/>
        <v>0</v>
      </c>
    </row>
    <row r="200">
      <c r="A200" s="1" t="s">
        <v>1834</v>
      </c>
      <c r="B200" s="2" t="s">
        <v>28</v>
      </c>
      <c r="C200" s="2" t="s">
        <v>1835</v>
      </c>
      <c r="D200" s="2" t="s">
        <v>1836</v>
      </c>
      <c r="E200" s="2" t="s">
        <v>1837</v>
      </c>
      <c r="F200" s="2" t="s">
        <v>1838</v>
      </c>
      <c r="G200" s="2" t="s">
        <v>1839</v>
      </c>
      <c r="H200" s="2" t="s">
        <v>1840</v>
      </c>
      <c r="I200" s="2" t="s">
        <v>1841</v>
      </c>
      <c r="J200" s="2" t="s">
        <v>1842</v>
      </c>
      <c r="K200" s="2" t="s">
        <v>1843</v>
      </c>
      <c r="L200" s="2" t="s">
        <v>1844</v>
      </c>
      <c r="M200" s="2" t="s">
        <v>1845</v>
      </c>
      <c r="N200" s="2" t="s">
        <v>1846</v>
      </c>
      <c r="O200" s="2" t="s">
        <v>1847</v>
      </c>
      <c r="P200" s="2" t="s">
        <v>1848</v>
      </c>
      <c r="Q200" s="3">
        <f t="shared" si="1"/>
        <v>5</v>
      </c>
      <c r="R200" s="3">
        <f t="shared" si="2"/>
        <v>0.82246199</v>
      </c>
      <c r="S200" s="3">
        <f t="shared" si="3"/>
        <v>2.013687334</v>
      </c>
      <c r="T200" s="3">
        <f t="shared" si="4"/>
        <v>0.296175686</v>
      </c>
      <c r="U200" s="3">
        <f t="shared" si="12"/>
        <v>94</v>
      </c>
      <c r="V200" s="3">
        <f t="shared" si="6"/>
        <v>85</v>
      </c>
      <c r="W200" s="3">
        <f t="shared" si="7"/>
        <v>98</v>
      </c>
      <c r="X200" s="3" t="str">
        <f t="shared" si="8"/>
        <v/>
      </c>
      <c r="Y200" s="3" t="str">
        <f t="shared" si="9"/>
        <v/>
      </c>
      <c r="Z200" s="3" t="str">
        <f t="shared" si="10"/>
        <v/>
      </c>
      <c r="AA200" s="3">
        <f t="shared" si="11"/>
        <v>1.717511648</v>
      </c>
    </row>
    <row r="201">
      <c r="A201" s="1" t="s">
        <v>1834</v>
      </c>
      <c r="B201" s="2" t="s">
        <v>43</v>
      </c>
      <c r="C201" s="2" t="s">
        <v>1849</v>
      </c>
      <c r="D201" s="2" t="s">
        <v>1850</v>
      </c>
      <c r="E201" s="2" t="s">
        <v>1851</v>
      </c>
      <c r="F201" s="2" t="s">
        <v>1852</v>
      </c>
      <c r="G201" s="2" t="s">
        <v>1853</v>
      </c>
      <c r="H201" s="2" t="s">
        <v>1854</v>
      </c>
      <c r="I201" s="2" t="s">
        <v>1855</v>
      </c>
      <c r="J201" s="2" t="s">
        <v>1856</v>
      </c>
      <c r="K201" s="2" t="s">
        <v>55</v>
      </c>
      <c r="L201" s="2" t="s">
        <v>1857</v>
      </c>
      <c r="M201" s="2" t="s">
        <v>1858</v>
      </c>
      <c r="N201" s="2" t="s">
        <v>1859</v>
      </c>
      <c r="O201" s="2" t="s">
        <v>55</v>
      </c>
      <c r="P201" s="2" t="s">
        <v>55</v>
      </c>
      <c r="Q201" s="3" t="str">
        <f t="shared" si="1"/>
        <v/>
      </c>
      <c r="R201" s="3" t="str">
        <f t="shared" si="2"/>
        <v/>
      </c>
      <c r="S201" s="3" t="str">
        <f t="shared" si="3"/>
        <v/>
      </c>
      <c r="T201" s="3" t="str">
        <f t="shared" si="4"/>
        <v/>
      </c>
      <c r="U201" s="3">
        <f t="shared" si="12"/>
        <v>98</v>
      </c>
      <c r="V201" s="3">
        <f t="shared" si="6"/>
        <v>95</v>
      </c>
      <c r="W201" s="3">
        <f t="shared" si="7"/>
        <v>100</v>
      </c>
      <c r="X201" s="3" t="str">
        <f t="shared" si="8"/>
        <v/>
      </c>
      <c r="Y201" s="3" t="str">
        <f t="shared" si="9"/>
        <v/>
      </c>
      <c r="Z201" s="3" t="str">
        <f t="shared" si="10"/>
        <v/>
      </c>
      <c r="AA201" s="3">
        <f t="shared" si="11"/>
        <v>0</v>
      </c>
    </row>
    <row r="202">
      <c r="A202" s="1" t="s">
        <v>1860</v>
      </c>
      <c r="B202" s="2" t="s">
        <v>28</v>
      </c>
      <c r="C202" s="2" t="s">
        <v>1861</v>
      </c>
      <c r="D202" s="2" t="s">
        <v>1862</v>
      </c>
      <c r="E202" s="2" t="s">
        <v>1863</v>
      </c>
      <c r="F202" s="2" t="s">
        <v>55</v>
      </c>
      <c r="G202" s="2" t="s">
        <v>1864</v>
      </c>
      <c r="H202" s="2" t="s">
        <v>55</v>
      </c>
      <c r="I202" s="2" t="s">
        <v>1865</v>
      </c>
      <c r="J202" s="2" t="s">
        <v>55</v>
      </c>
      <c r="K202" s="2" t="s">
        <v>1866</v>
      </c>
      <c r="L202" s="2" t="s">
        <v>55</v>
      </c>
      <c r="M202" s="2" t="s">
        <v>1867</v>
      </c>
      <c r="N202" s="2" t="s">
        <v>55</v>
      </c>
      <c r="O202" s="2" t="s">
        <v>1868</v>
      </c>
      <c r="P202" s="2" t="s">
        <v>55</v>
      </c>
      <c r="Q202" s="3">
        <f t="shared" si="1"/>
        <v>5</v>
      </c>
      <c r="R202" s="3">
        <f t="shared" si="2"/>
        <v>0.005515704</v>
      </c>
      <c r="S202" s="3">
        <f t="shared" si="3"/>
        <v>0.023620912</v>
      </c>
      <c r="T202" s="3">
        <f t="shared" si="4"/>
        <v>-0.001211156</v>
      </c>
      <c r="U202" s="3">
        <f t="shared" si="12"/>
        <v>97</v>
      </c>
      <c r="V202" s="3">
        <f t="shared" si="6"/>
        <v>98</v>
      </c>
      <c r="W202" s="3">
        <f t="shared" si="7"/>
        <v>97</v>
      </c>
      <c r="X202" s="3" t="str">
        <f t="shared" si="8"/>
        <v/>
      </c>
      <c r="Y202" s="3" t="str">
        <f t="shared" si="9"/>
        <v/>
      </c>
      <c r="Z202" s="3" t="str">
        <f t="shared" si="10"/>
        <v/>
      </c>
      <c r="AA202" s="3">
        <f t="shared" si="11"/>
        <v>0.024832068</v>
      </c>
    </row>
    <row r="203">
      <c r="A203" s="1" t="s">
        <v>1860</v>
      </c>
      <c r="B203" s="2" t="s">
        <v>43</v>
      </c>
      <c r="C203" s="2" t="s">
        <v>1869</v>
      </c>
      <c r="D203" s="2" t="s">
        <v>1870</v>
      </c>
      <c r="E203" s="2" t="s">
        <v>1871</v>
      </c>
      <c r="F203" s="2" t="s">
        <v>55</v>
      </c>
      <c r="G203" s="2" t="s">
        <v>1872</v>
      </c>
      <c r="H203" s="2" t="s">
        <v>55</v>
      </c>
      <c r="I203" s="2" t="s">
        <v>1873</v>
      </c>
      <c r="J203" s="2" t="s">
        <v>55</v>
      </c>
      <c r="K203" s="2" t="s">
        <v>1874</v>
      </c>
      <c r="L203" s="2" t="s">
        <v>55</v>
      </c>
      <c r="M203" s="2" t="s">
        <v>1875</v>
      </c>
      <c r="N203" s="2" t="s">
        <v>55</v>
      </c>
      <c r="O203" s="2" t="s">
        <v>1876</v>
      </c>
      <c r="P203" s="2" t="s">
        <v>55</v>
      </c>
      <c r="Q203" s="3" t="str">
        <f t="shared" si="1"/>
        <v/>
      </c>
      <c r="R203" s="3" t="str">
        <f t="shared" si="2"/>
        <v/>
      </c>
      <c r="S203" s="3" t="str">
        <f t="shared" si="3"/>
        <v/>
      </c>
      <c r="T203" s="3" t="str">
        <f t="shared" si="4"/>
        <v/>
      </c>
      <c r="U203" s="3">
        <f t="shared" si="12"/>
        <v>97</v>
      </c>
      <c r="V203" s="3">
        <f t="shared" si="6"/>
        <v>98</v>
      </c>
      <c r="W203" s="3">
        <f t="shared" si="7"/>
        <v>97</v>
      </c>
      <c r="X203" s="3" t="str">
        <f t="shared" si="8"/>
        <v/>
      </c>
      <c r="Y203" s="3" t="str">
        <f t="shared" si="9"/>
        <v/>
      </c>
      <c r="Z203" s="3" t="str">
        <f t="shared" si="10"/>
        <v/>
      </c>
      <c r="AA203" s="3">
        <f t="shared" si="11"/>
        <v>0</v>
      </c>
    </row>
    <row r="204">
      <c r="A204" s="1" t="s">
        <v>1877</v>
      </c>
      <c r="B204" s="2" t="s">
        <v>28</v>
      </c>
      <c r="C204" s="2" t="s">
        <v>1878</v>
      </c>
      <c r="D204" s="2" t="s">
        <v>1879</v>
      </c>
      <c r="E204" s="2" t="s">
        <v>1880</v>
      </c>
      <c r="F204" s="2" t="s">
        <v>55</v>
      </c>
      <c r="G204" s="2" t="s">
        <v>1881</v>
      </c>
      <c r="H204" s="2" t="s">
        <v>55</v>
      </c>
      <c r="I204" s="1" t="s">
        <v>112</v>
      </c>
      <c r="J204" s="1" t="s">
        <v>112</v>
      </c>
      <c r="K204" s="1" t="s">
        <v>112</v>
      </c>
      <c r="L204" s="1" t="s">
        <v>112</v>
      </c>
      <c r="M204" s="1" t="s">
        <v>112</v>
      </c>
      <c r="N204" s="1" t="s">
        <v>112</v>
      </c>
      <c r="O204" s="1" t="s">
        <v>112</v>
      </c>
      <c r="P204" s="1" t="s">
        <v>112</v>
      </c>
      <c r="Q204" s="3">
        <f t="shared" si="1"/>
        <v>5</v>
      </c>
      <c r="R204" s="3">
        <f t="shared" si="2"/>
        <v>0</v>
      </c>
      <c r="S204" s="3" t="str">
        <f t="shared" si="3"/>
        <v/>
      </c>
      <c r="T204" s="3" t="str">
        <f t="shared" si="4"/>
        <v/>
      </c>
      <c r="U204" s="3">
        <f t="shared" si="12"/>
        <v>99</v>
      </c>
      <c r="V204" s="3">
        <f t="shared" si="6"/>
        <v>0</v>
      </c>
      <c r="W204" s="3">
        <f t="shared" si="7"/>
        <v>0</v>
      </c>
      <c r="X204" s="3" t="str">
        <f t="shared" si="8"/>
        <v/>
      </c>
      <c r="Y204" s="3" t="str">
        <f t="shared" si="9"/>
        <v/>
      </c>
      <c r="Z204" s="3" t="str">
        <f t="shared" si="10"/>
        <v/>
      </c>
      <c r="AA204" s="3">
        <f t="shared" si="11"/>
        <v>0</v>
      </c>
    </row>
    <row r="205">
      <c r="A205" s="1" t="s">
        <v>1877</v>
      </c>
      <c r="B205" s="2" t="s">
        <v>43</v>
      </c>
      <c r="C205" s="2" t="s">
        <v>1882</v>
      </c>
      <c r="D205" s="2" t="s">
        <v>1883</v>
      </c>
      <c r="E205" s="2" t="s">
        <v>1880</v>
      </c>
      <c r="F205" s="2" t="s">
        <v>55</v>
      </c>
      <c r="G205" s="2" t="s">
        <v>1881</v>
      </c>
      <c r="H205" s="2" t="s">
        <v>55</v>
      </c>
      <c r="I205" s="1" t="s">
        <v>112</v>
      </c>
      <c r="J205" s="1" t="s">
        <v>112</v>
      </c>
      <c r="K205" s="1" t="s">
        <v>112</v>
      </c>
      <c r="L205" s="1" t="s">
        <v>112</v>
      </c>
      <c r="M205" s="1" t="s">
        <v>112</v>
      </c>
      <c r="N205" s="1" t="s">
        <v>112</v>
      </c>
      <c r="O205" s="1" t="s">
        <v>112</v>
      </c>
      <c r="P205" s="1" t="s">
        <v>112</v>
      </c>
      <c r="Q205" s="3" t="str">
        <f t="shared" si="1"/>
        <v/>
      </c>
      <c r="R205" s="3" t="str">
        <f t="shared" si="2"/>
        <v/>
      </c>
      <c r="S205" s="3" t="str">
        <f t="shared" si="3"/>
        <v/>
      </c>
      <c r="T205" s="3" t="str">
        <f t="shared" si="4"/>
        <v/>
      </c>
      <c r="U205" s="3">
        <f t="shared" si="12"/>
        <v>99</v>
      </c>
      <c r="V205" s="3">
        <f t="shared" si="6"/>
        <v>0</v>
      </c>
      <c r="W205" s="3">
        <f t="shared" si="7"/>
        <v>0</v>
      </c>
      <c r="X205" s="3" t="str">
        <f t="shared" si="8"/>
        <v/>
      </c>
      <c r="Y205" s="3" t="str">
        <f t="shared" si="9"/>
        <v/>
      </c>
      <c r="Z205" s="3" t="str">
        <f t="shared" si="10"/>
        <v/>
      </c>
      <c r="AA205" s="3">
        <f t="shared" si="11"/>
        <v>0</v>
      </c>
    </row>
    <row r="206">
      <c r="A206" s="1" t="s">
        <v>1884</v>
      </c>
      <c r="B206" s="2" t="s">
        <v>28</v>
      </c>
      <c r="C206" s="2" t="s">
        <v>1885</v>
      </c>
      <c r="D206" s="2" t="s">
        <v>1886</v>
      </c>
      <c r="E206" s="2" t="s">
        <v>1887</v>
      </c>
      <c r="F206" s="2" t="s">
        <v>55</v>
      </c>
      <c r="G206" s="2" t="s">
        <v>55</v>
      </c>
      <c r="H206" s="2" t="s">
        <v>55</v>
      </c>
      <c r="I206" s="2" t="s">
        <v>54</v>
      </c>
      <c r="J206" s="2" t="s">
        <v>55</v>
      </c>
      <c r="K206" s="2" t="s">
        <v>55</v>
      </c>
      <c r="L206" s="2" t="s">
        <v>55</v>
      </c>
      <c r="M206" s="2" t="s">
        <v>54</v>
      </c>
      <c r="N206" s="2" t="s">
        <v>55</v>
      </c>
      <c r="O206" s="2" t="s">
        <v>55</v>
      </c>
      <c r="P206" s="2" t="s">
        <v>55</v>
      </c>
      <c r="Q206" s="3">
        <f t="shared" si="1"/>
        <v>5</v>
      </c>
      <c r="R206" s="3">
        <f t="shared" si="2"/>
        <v>-0.0000002999999992</v>
      </c>
      <c r="S206" s="3">
        <f t="shared" si="3"/>
        <v>0</v>
      </c>
      <c r="T206" s="3">
        <f t="shared" si="4"/>
        <v>0</v>
      </c>
      <c r="U206" s="3">
        <f t="shared" si="12"/>
        <v>100</v>
      </c>
      <c r="V206" s="3">
        <f t="shared" si="6"/>
        <v>100</v>
      </c>
      <c r="W206" s="3">
        <f t="shared" si="7"/>
        <v>100</v>
      </c>
      <c r="X206" s="3" t="str">
        <f t="shared" si="8"/>
        <v>full access</v>
      </c>
      <c r="Y206" s="3" t="str">
        <f t="shared" si="9"/>
        <v>full access</v>
      </c>
      <c r="Z206" s="3" t="str">
        <f t="shared" si="10"/>
        <v>full access</v>
      </c>
      <c r="AA206" s="3">
        <f t="shared" si="11"/>
        <v>0</v>
      </c>
    </row>
    <row r="207">
      <c r="A207" s="1" t="s">
        <v>1884</v>
      </c>
      <c r="B207" s="2" t="s">
        <v>43</v>
      </c>
      <c r="C207" s="2" t="s">
        <v>1888</v>
      </c>
      <c r="D207" s="2" t="s">
        <v>1889</v>
      </c>
      <c r="E207" s="2" t="s">
        <v>54</v>
      </c>
      <c r="F207" s="2" t="s">
        <v>55</v>
      </c>
      <c r="G207" s="2" t="s">
        <v>55</v>
      </c>
      <c r="H207" s="2" t="s">
        <v>55</v>
      </c>
      <c r="I207" s="2" t="s">
        <v>54</v>
      </c>
      <c r="J207" s="2" t="s">
        <v>55</v>
      </c>
      <c r="K207" s="2" t="s">
        <v>55</v>
      </c>
      <c r="L207" s="2" t="s">
        <v>55</v>
      </c>
      <c r="M207" s="2" t="s">
        <v>54</v>
      </c>
      <c r="N207" s="2" t="s">
        <v>55</v>
      </c>
      <c r="O207" s="2" t="s">
        <v>55</v>
      </c>
      <c r="P207" s="2" t="s">
        <v>55</v>
      </c>
      <c r="Q207" s="3" t="str">
        <f t="shared" si="1"/>
        <v/>
      </c>
      <c r="R207" s="3" t="str">
        <f t="shared" si="2"/>
        <v/>
      </c>
      <c r="S207" s="3" t="str">
        <f t="shared" si="3"/>
        <v/>
      </c>
      <c r="T207" s="3" t="str">
        <f t="shared" si="4"/>
        <v/>
      </c>
      <c r="U207" s="3">
        <f t="shared" si="12"/>
        <v>100</v>
      </c>
      <c r="V207" s="3">
        <f t="shared" si="6"/>
        <v>100</v>
      </c>
      <c r="W207" s="3">
        <f t="shared" si="7"/>
        <v>100</v>
      </c>
      <c r="X207" s="3" t="str">
        <f t="shared" si="8"/>
        <v/>
      </c>
      <c r="Y207" s="3" t="str">
        <f t="shared" si="9"/>
        <v/>
      </c>
      <c r="Z207" s="3" t="str">
        <f t="shared" si="10"/>
        <v/>
      </c>
      <c r="AA207" s="3">
        <f t="shared" si="11"/>
        <v>0</v>
      </c>
    </row>
    <row r="208">
      <c r="A208" s="1" t="s">
        <v>1890</v>
      </c>
      <c r="B208" s="2" t="s">
        <v>28</v>
      </c>
      <c r="C208" s="2" t="s">
        <v>1891</v>
      </c>
      <c r="D208" s="2" t="s">
        <v>1892</v>
      </c>
      <c r="E208" s="2" t="s">
        <v>1893</v>
      </c>
      <c r="F208" s="2" t="s">
        <v>55</v>
      </c>
      <c r="G208" s="2" t="s">
        <v>1894</v>
      </c>
      <c r="H208" s="2" t="s">
        <v>55</v>
      </c>
      <c r="I208" s="1" t="s">
        <v>112</v>
      </c>
      <c r="J208" s="1" t="s">
        <v>112</v>
      </c>
      <c r="K208" s="1" t="s">
        <v>112</v>
      </c>
      <c r="L208" s="1" t="s">
        <v>112</v>
      </c>
      <c r="M208" s="1" t="s">
        <v>112</v>
      </c>
      <c r="N208" s="1" t="s">
        <v>112</v>
      </c>
      <c r="O208" s="1" t="s">
        <v>112</v>
      </c>
      <c r="P208" s="1" t="s">
        <v>112</v>
      </c>
      <c r="Q208" s="3">
        <f t="shared" si="1"/>
        <v>5</v>
      </c>
      <c r="R208" s="3">
        <f t="shared" si="2"/>
        <v>0</v>
      </c>
      <c r="S208" s="3" t="str">
        <f t="shared" si="3"/>
        <v/>
      </c>
      <c r="T208" s="3" t="str">
        <f t="shared" si="4"/>
        <v/>
      </c>
      <c r="U208" s="3">
        <f t="shared" si="12"/>
        <v>100</v>
      </c>
      <c r="V208" s="3">
        <f t="shared" si="6"/>
        <v>0</v>
      </c>
      <c r="W208" s="3">
        <f t="shared" si="7"/>
        <v>0</v>
      </c>
      <c r="X208" s="3" t="str">
        <f t="shared" si="8"/>
        <v>full access</v>
      </c>
      <c r="Y208" s="3" t="str">
        <f t="shared" si="9"/>
        <v/>
      </c>
      <c r="Z208" s="3" t="str">
        <f t="shared" si="10"/>
        <v/>
      </c>
      <c r="AA208" s="3">
        <f t="shared" si="11"/>
        <v>0</v>
      </c>
    </row>
    <row r="209">
      <c r="A209" s="1" t="s">
        <v>1890</v>
      </c>
      <c r="B209" s="2" t="s">
        <v>43</v>
      </c>
      <c r="C209" s="2" t="s">
        <v>1895</v>
      </c>
      <c r="D209" s="2" t="s">
        <v>1896</v>
      </c>
      <c r="E209" s="2" t="s">
        <v>1893</v>
      </c>
      <c r="F209" s="2" t="s">
        <v>55</v>
      </c>
      <c r="G209" s="2" t="s">
        <v>1894</v>
      </c>
      <c r="H209" s="2" t="s">
        <v>55</v>
      </c>
      <c r="I209" s="1" t="s">
        <v>112</v>
      </c>
      <c r="J209" s="1" t="s">
        <v>112</v>
      </c>
      <c r="K209" s="1" t="s">
        <v>112</v>
      </c>
      <c r="L209" s="1" t="s">
        <v>112</v>
      </c>
      <c r="M209" s="1" t="s">
        <v>112</v>
      </c>
      <c r="N209" s="1" t="s">
        <v>112</v>
      </c>
      <c r="O209" s="1" t="s">
        <v>112</v>
      </c>
      <c r="P209" s="1" t="s">
        <v>112</v>
      </c>
      <c r="Q209" s="3" t="str">
        <f t="shared" si="1"/>
        <v/>
      </c>
      <c r="R209" s="3" t="str">
        <f t="shared" si="2"/>
        <v/>
      </c>
      <c r="S209" s="3" t="str">
        <f t="shared" si="3"/>
        <v/>
      </c>
      <c r="T209" s="3" t="str">
        <f t="shared" si="4"/>
        <v/>
      </c>
      <c r="U209" s="3">
        <f t="shared" si="12"/>
        <v>100</v>
      </c>
      <c r="V209" s="3">
        <f t="shared" si="6"/>
        <v>0</v>
      </c>
      <c r="W209" s="3">
        <f t="shared" si="7"/>
        <v>0</v>
      </c>
      <c r="X209" s="3" t="str">
        <f t="shared" si="8"/>
        <v/>
      </c>
      <c r="Y209" s="3" t="str">
        <f t="shared" si="9"/>
        <v/>
      </c>
      <c r="Z209" s="3" t="str">
        <f t="shared" si="10"/>
        <v/>
      </c>
      <c r="AA209" s="3">
        <f t="shared" si="11"/>
        <v>0</v>
      </c>
    </row>
    <row r="210">
      <c r="A210" s="1" t="s">
        <v>1897</v>
      </c>
      <c r="B210" s="2" t="s">
        <v>28</v>
      </c>
      <c r="C210" s="2" t="s">
        <v>1898</v>
      </c>
      <c r="D210" s="2" t="s">
        <v>1899</v>
      </c>
      <c r="E210" s="2" t="s">
        <v>1900</v>
      </c>
      <c r="F210" s="2" t="s">
        <v>1901</v>
      </c>
      <c r="G210" s="2" t="s">
        <v>1902</v>
      </c>
      <c r="H210" s="2" t="s">
        <v>1903</v>
      </c>
      <c r="I210" s="2" t="s">
        <v>1904</v>
      </c>
      <c r="J210" s="2" t="s">
        <v>1905</v>
      </c>
      <c r="K210" s="2" t="s">
        <v>1906</v>
      </c>
      <c r="L210" s="2" t="s">
        <v>1907</v>
      </c>
      <c r="M210" s="2" t="s">
        <v>1908</v>
      </c>
      <c r="N210" s="2" t="s">
        <v>1909</v>
      </c>
      <c r="O210" s="2" t="s">
        <v>1910</v>
      </c>
      <c r="P210" s="2" t="s">
        <v>1911</v>
      </c>
      <c r="Q210" s="3">
        <f t="shared" si="1"/>
        <v>5</v>
      </c>
      <c r="R210" s="3">
        <f t="shared" si="2"/>
        <v>0.122629642</v>
      </c>
      <c r="S210" s="3">
        <f t="shared" si="3"/>
        <v>0.179840452</v>
      </c>
      <c r="T210" s="3">
        <f t="shared" si="4"/>
        <v>0.021605134</v>
      </c>
      <c r="U210" s="3">
        <f t="shared" si="12"/>
        <v>90</v>
      </c>
      <c r="V210" s="3">
        <f t="shared" si="6"/>
        <v>85</v>
      </c>
      <c r="W210" s="3">
        <f t="shared" si="7"/>
        <v>95</v>
      </c>
      <c r="X210" s="3" t="str">
        <f t="shared" si="8"/>
        <v/>
      </c>
      <c r="Y210" s="3" t="str">
        <f t="shared" si="9"/>
        <v/>
      </c>
      <c r="Z210" s="3" t="str">
        <f t="shared" si="10"/>
        <v/>
      </c>
      <c r="AA210" s="3">
        <f t="shared" si="11"/>
        <v>0.158235318</v>
      </c>
    </row>
    <row r="211">
      <c r="A211" s="1" t="s">
        <v>1897</v>
      </c>
      <c r="B211" s="2" t="s">
        <v>43</v>
      </c>
      <c r="C211" s="2" t="s">
        <v>1912</v>
      </c>
      <c r="D211" s="2" t="s">
        <v>1913</v>
      </c>
      <c r="E211" s="2" t="s">
        <v>1914</v>
      </c>
      <c r="F211" s="2" t="s">
        <v>1915</v>
      </c>
      <c r="G211" s="2" t="s">
        <v>1916</v>
      </c>
      <c r="H211" s="2" t="s">
        <v>1917</v>
      </c>
      <c r="I211" s="2" t="s">
        <v>1918</v>
      </c>
      <c r="J211" s="2" t="s">
        <v>1919</v>
      </c>
      <c r="K211" s="2" t="s">
        <v>1920</v>
      </c>
      <c r="L211" s="2" t="s">
        <v>1921</v>
      </c>
      <c r="M211" s="2" t="s">
        <v>1922</v>
      </c>
      <c r="N211" s="2" t="s">
        <v>1923</v>
      </c>
      <c r="O211" s="2" t="s">
        <v>1924</v>
      </c>
      <c r="P211" s="2" t="s">
        <v>1925</v>
      </c>
      <c r="Q211" s="3" t="str">
        <f t="shared" si="1"/>
        <v/>
      </c>
      <c r="R211" s="3" t="str">
        <f t="shared" si="2"/>
        <v/>
      </c>
      <c r="S211" s="3" t="str">
        <f t="shared" si="3"/>
        <v/>
      </c>
      <c r="T211" s="3" t="str">
        <f t="shared" si="4"/>
        <v/>
      </c>
      <c r="U211" s="3">
        <f t="shared" si="12"/>
        <v>91</v>
      </c>
      <c r="V211" s="3">
        <f t="shared" si="6"/>
        <v>85</v>
      </c>
      <c r="W211" s="3">
        <f t="shared" si="7"/>
        <v>95</v>
      </c>
      <c r="X211" s="3" t="str">
        <f t="shared" si="8"/>
        <v/>
      </c>
      <c r="Y211" s="3" t="str">
        <f t="shared" si="9"/>
        <v/>
      </c>
      <c r="Z211" s="3" t="str">
        <f t="shared" si="10"/>
        <v/>
      </c>
      <c r="AA211" s="3">
        <f t="shared" si="11"/>
        <v>0</v>
      </c>
    </row>
    <row r="212">
      <c r="A212" s="1" t="s">
        <v>1926</v>
      </c>
      <c r="B212" s="2" t="s">
        <v>28</v>
      </c>
      <c r="C212" s="2" t="s">
        <v>1927</v>
      </c>
      <c r="D212" s="2" t="s">
        <v>1928</v>
      </c>
      <c r="E212" s="2" t="s">
        <v>1929</v>
      </c>
      <c r="F212" s="2" t="s">
        <v>55</v>
      </c>
      <c r="G212" s="2" t="s">
        <v>1930</v>
      </c>
      <c r="H212" s="2" t="s">
        <v>55</v>
      </c>
      <c r="I212" s="1" t="s">
        <v>112</v>
      </c>
      <c r="J212" s="1" t="s">
        <v>112</v>
      </c>
      <c r="K212" s="1" t="s">
        <v>112</v>
      </c>
      <c r="L212" s="1" t="s">
        <v>112</v>
      </c>
      <c r="M212" s="1" t="s">
        <v>112</v>
      </c>
      <c r="N212" s="1" t="s">
        <v>112</v>
      </c>
      <c r="O212" s="1" t="s">
        <v>112</v>
      </c>
      <c r="P212" s="1" t="s">
        <v>112</v>
      </c>
      <c r="Q212" s="3">
        <f t="shared" si="1"/>
        <v>5</v>
      </c>
      <c r="R212" s="3">
        <f t="shared" si="2"/>
        <v>0.031221394</v>
      </c>
      <c r="S212" s="3" t="str">
        <f t="shared" si="3"/>
        <v/>
      </c>
      <c r="T212" s="3" t="str">
        <f t="shared" si="4"/>
        <v/>
      </c>
      <c r="U212" s="3">
        <f t="shared" si="12"/>
        <v>99</v>
      </c>
      <c r="V212" s="3">
        <f t="shared" si="6"/>
        <v>0</v>
      </c>
      <c r="W212" s="3">
        <f t="shared" si="7"/>
        <v>0</v>
      </c>
      <c r="X212" s="3" t="str">
        <f t="shared" si="8"/>
        <v/>
      </c>
      <c r="Y212" s="3" t="str">
        <f t="shared" si="9"/>
        <v/>
      </c>
      <c r="Z212" s="3" t="str">
        <f t="shared" si="10"/>
        <v/>
      </c>
      <c r="AA212" s="3">
        <f t="shared" si="11"/>
        <v>0</v>
      </c>
    </row>
    <row r="213">
      <c r="A213" s="1" t="s">
        <v>1926</v>
      </c>
      <c r="B213" s="2" t="s">
        <v>43</v>
      </c>
      <c r="C213" s="2" t="s">
        <v>1931</v>
      </c>
      <c r="D213" s="2" t="s">
        <v>1932</v>
      </c>
      <c r="E213" s="2" t="s">
        <v>1933</v>
      </c>
      <c r="F213" s="2" t="s">
        <v>55</v>
      </c>
      <c r="G213" s="2" t="s">
        <v>1934</v>
      </c>
      <c r="H213" s="2" t="s">
        <v>55</v>
      </c>
      <c r="I213" s="1" t="s">
        <v>112</v>
      </c>
      <c r="J213" s="1" t="s">
        <v>112</v>
      </c>
      <c r="K213" s="1" t="s">
        <v>112</v>
      </c>
      <c r="L213" s="1" t="s">
        <v>112</v>
      </c>
      <c r="M213" s="1" t="s">
        <v>112</v>
      </c>
      <c r="N213" s="1" t="s">
        <v>112</v>
      </c>
      <c r="O213" s="1" t="s">
        <v>112</v>
      </c>
      <c r="P213" s="1" t="s">
        <v>112</v>
      </c>
      <c r="Q213" s="3" t="str">
        <f t="shared" si="1"/>
        <v/>
      </c>
      <c r="R213" s="3" t="str">
        <f t="shared" si="2"/>
        <v/>
      </c>
      <c r="S213" s="3" t="str">
        <f t="shared" si="3"/>
        <v/>
      </c>
      <c r="T213" s="3" t="str">
        <f t="shared" si="4"/>
        <v/>
      </c>
      <c r="U213" s="3">
        <f t="shared" si="12"/>
        <v>99</v>
      </c>
      <c r="V213" s="3">
        <f t="shared" si="6"/>
        <v>0</v>
      </c>
      <c r="W213" s="3">
        <f t="shared" si="7"/>
        <v>0</v>
      </c>
      <c r="X213" s="3" t="str">
        <f t="shared" si="8"/>
        <v/>
      </c>
      <c r="Y213" s="3" t="str">
        <f t="shared" si="9"/>
        <v/>
      </c>
      <c r="Z213" s="3" t="str">
        <f t="shared" si="10"/>
        <v/>
      </c>
      <c r="AA213" s="3">
        <f t="shared" si="11"/>
        <v>0</v>
      </c>
    </row>
    <row r="214">
      <c r="A214" s="1" t="s">
        <v>1935</v>
      </c>
      <c r="B214" s="2" t="s">
        <v>28</v>
      </c>
      <c r="C214" s="2" t="s">
        <v>1936</v>
      </c>
      <c r="D214" s="2" t="s">
        <v>1937</v>
      </c>
      <c r="E214" s="2" t="s">
        <v>1938</v>
      </c>
      <c r="F214" s="2" t="s">
        <v>1939</v>
      </c>
      <c r="G214" s="2" t="s">
        <v>1940</v>
      </c>
      <c r="H214" s="2" t="s">
        <v>1941</v>
      </c>
      <c r="I214" s="2" t="s">
        <v>1942</v>
      </c>
      <c r="J214" s="2" t="s">
        <v>1943</v>
      </c>
      <c r="K214" s="2" t="s">
        <v>1944</v>
      </c>
      <c r="L214" s="2" t="s">
        <v>1945</v>
      </c>
      <c r="M214" s="2" t="s">
        <v>1946</v>
      </c>
      <c r="N214" s="2" t="s">
        <v>1947</v>
      </c>
      <c r="O214" s="2" t="s">
        <v>1948</v>
      </c>
      <c r="P214" s="2" t="s">
        <v>1949</v>
      </c>
      <c r="Q214" s="3">
        <f t="shared" si="1"/>
        <v>5</v>
      </c>
      <c r="R214" s="3">
        <f t="shared" si="2"/>
        <v>-0.01329639</v>
      </c>
      <c r="S214" s="3">
        <f t="shared" si="3"/>
        <v>-0.01016734</v>
      </c>
      <c r="T214" s="3">
        <f t="shared" si="4"/>
        <v>-0.018220846</v>
      </c>
      <c r="U214" s="3">
        <f t="shared" si="12"/>
        <v>99</v>
      </c>
      <c r="V214" s="3">
        <f t="shared" si="6"/>
        <v>97</v>
      </c>
      <c r="W214" s="3">
        <f t="shared" si="7"/>
        <v>99</v>
      </c>
      <c r="X214" s="3" t="str">
        <f t="shared" si="8"/>
        <v/>
      </c>
      <c r="Y214" s="3" t="str">
        <f t="shared" si="9"/>
        <v/>
      </c>
      <c r="Z214" s="3" t="str">
        <f t="shared" si="10"/>
        <v/>
      </c>
      <c r="AA214" s="3">
        <f t="shared" si="11"/>
        <v>0.008053506</v>
      </c>
    </row>
    <row r="215">
      <c r="A215" s="1" t="s">
        <v>1935</v>
      </c>
      <c r="B215" s="2" t="s">
        <v>43</v>
      </c>
      <c r="C215" s="2" t="s">
        <v>1950</v>
      </c>
      <c r="D215" s="2" t="s">
        <v>1951</v>
      </c>
      <c r="E215" s="2" t="s">
        <v>1952</v>
      </c>
      <c r="F215" s="2" t="s">
        <v>1953</v>
      </c>
      <c r="G215" s="2" t="s">
        <v>1954</v>
      </c>
      <c r="H215" s="2" t="s">
        <v>1955</v>
      </c>
      <c r="I215" s="2" t="s">
        <v>1956</v>
      </c>
      <c r="J215" s="2" t="s">
        <v>1957</v>
      </c>
      <c r="K215" s="2" t="s">
        <v>1958</v>
      </c>
      <c r="L215" s="2" t="s">
        <v>1945</v>
      </c>
      <c r="M215" s="2" t="s">
        <v>1959</v>
      </c>
      <c r="N215" s="2" t="s">
        <v>1960</v>
      </c>
      <c r="O215" s="2" t="s">
        <v>1961</v>
      </c>
      <c r="P215" s="2" t="s">
        <v>1949</v>
      </c>
      <c r="Q215" s="3" t="str">
        <f t="shared" si="1"/>
        <v/>
      </c>
      <c r="R215" s="3" t="str">
        <f t="shared" si="2"/>
        <v/>
      </c>
      <c r="S215" s="3" t="str">
        <f t="shared" si="3"/>
        <v/>
      </c>
      <c r="T215" s="3" t="str">
        <f t="shared" si="4"/>
        <v/>
      </c>
      <c r="U215" s="3">
        <f t="shared" si="12"/>
        <v>99</v>
      </c>
      <c r="V215" s="3">
        <f t="shared" si="6"/>
        <v>97</v>
      </c>
      <c r="W215" s="3">
        <f t="shared" si="7"/>
        <v>99</v>
      </c>
      <c r="X215" s="3" t="str">
        <f t="shared" si="8"/>
        <v/>
      </c>
      <c r="Y215" s="3" t="str">
        <f t="shared" si="9"/>
        <v/>
      </c>
      <c r="Z215" s="3" t="str">
        <f t="shared" si="10"/>
        <v/>
      </c>
      <c r="AA215" s="3">
        <f t="shared" si="11"/>
        <v>0</v>
      </c>
    </row>
    <row r="216">
      <c r="A216" s="1" t="s">
        <v>1962</v>
      </c>
      <c r="B216" s="2" t="s">
        <v>28</v>
      </c>
      <c r="C216" s="2" t="s">
        <v>1963</v>
      </c>
      <c r="D216" s="2" t="s">
        <v>1964</v>
      </c>
      <c r="E216" s="2" t="s">
        <v>1965</v>
      </c>
      <c r="F216" s="2" t="s">
        <v>1966</v>
      </c>
      <c r="G216" s="2" t="s">
        <v>1967</v>
      </c>
      <c r="H216" s="2" t="s">
        <v>1968</v>
      </c>
      <c r="I216" s="2" t="s">
        <v>1969</v>
      </c>
      <c r="J216" s="2" t="s">
        <v>1970</v>
      </c>
      <c r="K216" s="2" t="s">
        <v>1971</v>
      </c>
      <c r="L216" s="2" t="s">
        <v>1972</v>
      </c>
      <c r="M216" s="2" t="s">
        <v>1973</v>
      </c>
      <c r="N216" s="2" t="s">
        <v>1974</v>
      </c>
      <c r="O216" s="2" t="s">
        <v>55</v>
      </c>
      <c r="P216" s="2" t="s">
        <v>55</v>
      </c>
      <c r="Q216" s="3">
        <f t="shared" si="1"/>
        <v>5</v>
      </c>
      <c r="R216" s="3">
        <f t="shared" si="2"/>
        <v>0.081927182</v>
      </c>
      <c r="S216" s="3">
        <f t="shared" si="3"/>
        <v>0.2383509</v>
      </c>
      <c r="T216" s="3">
        <f t="shared" si="4"/>
        <v>-0.045335692</v>
      </c>
      <c r="U216" s="3">
        <f t="shared" si="12"/>
        <v>95</v>
      </c>
      <c r="V216" s="3">
        <f t="shared" si="6"/>
        <v>91</v>
      </c>
      <c r="W216" s="3">
        <f t="shared" si="7"/>
        <v>98</v>
      </c>
      <c r="X216" s="3" t="str">
        <f t="shared" si="8"/>
        <v/>
      </c>
      <c r="Y216" s="3" t="str">
        <f t="shared" si="9"/>
        <v/>
      </c>
      <c r="Z216" s="3" t="str">
        <f t="shared" si="10"/>
        <v/>
      </c>
      <c r="AA216" s="3">
        <f t="shared" si="11"/>
        <v>0.283686592</v>
      </c>
    </row>
    <row r="217">
      <c r="A217" s="1" t="s">
        <v>1962</v>
      </c>
      <c r="B217" s="2" t="s">
        <v>43</v>
      </c>
      <c r="C217" s="2" t="s">
        <v>1975</v>
      </c>
      <c r="D217" s="2" t="s">
        <v>1976</v>
      </c>
      <c r="E217" s="2" t="s">
        <v>1977</v>
      </c>
      <c r="F217" s="2" t="s">
        <v>1978</v>
      </c>
      <c r="G217" s="2" t="s">
        <v>1979</v>
      </c>
      <c r="H217" s="2" t="s">
        <v>1980</v>
      </c>
      <c r="I217" s="2" t="s">
        <v>1981</v>
      </c>
      <c r="J217" s="2" t="s">
        <v>1982</v>
      </c>
      <c r="K217" s="2" t="s">
        <v>1983</v>
      </c>
      <c r="L217" s="2" t="s">
        <v>1984</v>
      </c>
      <c r="M217" s="2" t="s">
        <v>1985</v>
      </c>
      <c r="N217" s="2" t="s">
        <v>1986</v>
      </c>
      <c r="O217" s="2" t="s">
        <v>55</v>
      </c>
      <c r="P217" s="2" t="s">
        <v>55</v>
      </c>
      <c r="Q217" s="3" t="str">
        <f t="shared" si="1"/>
        <v/>
      </c>
      <c r="R217" s="3" t="str">
        <f t="shared" si="2"/>
        <v/>
      </c>
      <c r="S217" s="3" t="str">
        <f t="shared" si="3"/>
        <v/>
      </c>
      <c r="T217" s="3" t="str">
        <f t="shared" si="4"/>
        <v/>
      </c>
      <c r="U217" s="3">
        <f t="shared" si="12"/>
        <v>95</v>
      </c>
      <c r="V217" s="3">
        <f t="shared" si="6"/>
        <v>92</v>
      </c>
      <c r="W217" s="3">
        <f t="shared" si="7"/>
        <v>98</v>
      </c>
      <c r="X217" s="3" t="str">
        <f t="shared" si="8"/>
        <v/>
      </c>
      <c r="Y217" s="3" t="str">
        <f t="shared" si="9"/>
        <v/>
      </c>
      <c r="Z217" s="3" t="str">
        <f t="shared" si="10"/>
        <v/>
      </c>
      <c r="AA217" s="3">
        <f t="shared" si="11"/>
        <v>0</v>
      </c>
    </row>
    <row r="218">
      <c r="A218" s="1" t="s">
        <v>1987</v>
      </c>
      <c r="B218" s="2" t="s">
        <v>28</v>
      </c>
      <c r="C218" s="2" t="s">
        <v>1988</v>
      </c>
      <c r="D218" s="2" t="s">
        <v>1989</v>
      </c>
      <c r="E218" s="2" t="s">
        <v>1990</v>
      </c>
      <c r="F218" s="2" t="s">
        <v>1991</v>
      </c>
      <c r="G218" s="2" t="s">
        <v>1992</v>
      </c>
      <c r="H218" s="2" t="s">
        <v>1993</v>
      </c>
      <c r="I218" s="2" t="s">
        <v>1994</v>
      </c>
      <c r="J218" s="2" t="s">
        <v>1995</v>
      </c>
      <c r="K218" s="2" t="s">
        <v>1996</v>
      </c>
      <c r="L218" s="2" t="s">
        <v>1997</v>
      </c>
      <c r="M218" s="2" t="s">
        <v>1998</v>
      </c>
      <c r="N218" s="2" t="s">
        <v>1999</v>
      </c>
      <c r="O218" s="2" t="s">
        <v>2000</v>
      </c>
      <c r="P218" s="2" t="s">
        <v>2001</v>
      </c>
      <c r="Q218" s="3">
        <f t="shared" si="1"/>
        <v>5</v>
      </c>
      <c r="R218" s="3">
        <f t="shared" si="2"/>
        <v>0.68719272</v>
      </c>
      <c r="S218" s="3">
        <f t="shared" si="3"/>
        <v>0.701563404</v>
      </c>
      <c r="T218" s="3">
        <f t="shared" si="4"/>
        <v>0.004416706</v>
      </c>
      <c r="U218" s="3">
        <f t="shared" si="12"/>
        <v>58</v>
      </c>
      <c r="V218" s="3">
        <f t="shared" si="6"/>
        <v>48</v>
      </c>
      <c r="W218" s="3">
        <f t="shared" si="7"/>
        <v>87</v>
      </c>
      <c r="X218" s="3" t="str">
        <f t="shared" si="8"/>
        <v/>
      </c>
      <c r="Y218" s="3" t="str">
        <f t="shared" si="9"/>
        <v/>
      </c>
      <c r="Z218" s="3" t="str">
        <f t="shared" si="10"/>
        <v/>
      </c>
      <c r="AA218" s="3">
        <f t="shared" si="11"/>
        <v>0.697146698</v>
      </c>
    </row>
    <row r="219">
      <c r="A219" s="1" t="s">
        <v>1987</v>
      </c>
      <c r="B219" s="2" t="s">
        <v>43</v>
      </c>
      <c r="C219" s="2" t="s">
        <v>2002</v>
      </c>
      <c r="D219" s="2" t="s">
        <v>2003</v>
      </c>
      <c r="E219" s="2" t="s">
        <v>2004</v>
      </c>
      <c r="F219" s="2" t="s">
        <v>2005</v>
      </c>
      <c r="G219" s="2" t="s">
        <v>2006</v>
      </c>
      <c r="H219" s="2" t="s">
        <v>2007</v>
      </c>
      <c r="I219" s="2" t="s">
        <v>2008</v>
      </c>
      <c r="J219" s="2" t="s">
        <v>2009</v>
      </c>
      <c r="K219" s="2" t="s">
        <v>2010</v>
      </c>
      <c r="L219" s="2" t="s">
        <v>2011</v>
      </c>
      <c r="M219" s="2" t="s">
        <v>2012</v>
      </c>
      <c r="N219" s="2" t="s">
        <v>2013</v>
      </c>
      <c r="O219" s="2" t="s">
        <v>2014</v>
      </c>
      <c r="P219" s="2" t="s">
        <v>2015</v>
      </c>
      <c r="Q219" s="3" t="str">
        <f t="shared" si="1"/>
        <v/>
      </c>
      <c r="R219" s="3" t="str">
        <f t="shared" si="2"/>
        <v/>
      </c>
      <c r="S219" s="3" t="str">
        <f t="shared" si="3"/>
        <v/>
      </c>
      <c r="T219" s="3" t="str">
        <f t="shared" si="4"/>
        <v/>
      </c>
      <c r="U219" s="3">
        <f t="shared" si="12"/>
        <v>62</v>
      </c>
      <c r="V219" s="3">
        <f t="shared" si="6"/>
        <v>52</v>
      </c>
      <c r="W219" s="3">
        <f t="shared" si="7"/>
        <v>87</v>
      </c>
      <c r="X219" s="3" t="str">
        <f t="shared" si="8"/>
        <v/>
      </c>
      <c r="Y219" s="3" t="str">
        <f t="shared" si="9"/>
        <v/>
      </c>
      <c r="Z219" s="3" t="str">
        <f t="shared" si="10"/>
        <v/>
      </c>
      <c r="AA219" s="3">
        <f t="shared" si="11"/>
        <v>0</v>
      </c>
    </row>
    <row r="220">
      <c r="A220" s="1" t="s">
        <v>2016</v>
      </c>
      <c r="B220" s="2" t="s">
        <v>28</v>
      </c>
      <c r="C220" s="2" t="s">
        <v>2017</v>
      </c>
      <c r="D220" s="2" t="s">
        <v>2018</v>
      </c>
      <c r="E220" s="2" t="s">
        <v>2019</v>
      </c>
      <c r="F220" s="2" t="s">
        <v>2020</v>
      </c>
      <c r="G220" s="2" t="s">
        <v>2021</v>
      </c>
      <c r="H220" s="2" t="s">
        <v>55</v>
      </c>
      <c r="I220" s="2" t="s">
        <v>2022</v>
      </c>
      <c r="J220" s="2" t="s">
        <v>2023</v>
      </c>
      <c r="K220" s="2" t="s">
        <v>2024</v>
      </c>
      <c r="L220" s="2" t="s">
        <v>55</v>
      </c>
      <c r="M220" s="2" t="s">
        <v>2025</v>
      </c>
      <c r="N220" s="2" t="s">
        <v>2026</v>
      </c>
      <c r="O220" s="2" t="s">
        <v>2027</v>
      </c>
      <c r="P220" s="2" t="s">
        <v>55</v>
      </c>
      <c r="Q220" s="3">
        <f t="shared" si="1"/>
        <v>5</v>
      </c>
      <c r="R220" s="3">
        <f t="shared" si="2"/>
        <v>0.824564852</v>
      </c>
      <c r="S220" s="3">
        <f t="shared" si="3"/>
        <v>0.61438646</v>
      </c>
      <c r="T220" s="3">
        <f t="shared" si="4"/>
        <v>0.55124857</v>
      </c>
      <c r="U220" s="3">
        <f t="shared" si="12"/>
        <v>74</v>
      </c>
      <c r="V220" s="3">
        <f t="shared" si="6"/>
        <v>58</v>
      </c>
      <c r="W220" s="3">
        <f t="shared" si="7"/>
        <v>89</v>
      </c>
      <c r="X220" s="3" t="str">
        <f t="shared" si="8"/>
        <v/>
      </c>
      <c r="Y220" s="3" t="str">
        <f t="shared" si="9"/>
        <v/>
      </c>
      <c r="Z220" s="3" t="str">
        <f t="shared" si="10"/>
        <v/>
      </c>
      <c r="AA220" s="3">
        <f t="shared" si="11"/>
        <v>0.06313789</v>
      </c>
    </row>
    <row r="221">
      <c r="A221" s="1" t="s">
        <v>2016</v>
      </c>
      <c r="B221" s="2" t="s">
        <v>43</v>
      </c>
      <c r="C221" s="2" t="s">
        <v>2028</v>
      </c>
      <c r="D221" s="2" t="s">
        <v>2029</v>
      </c>
      <c r="E221" s="2" t="s">
        <v>2030</v>
      </c>
      <c r="F221" s="2" t="s">
        <v>2031</v>
      </c>
      <c r="G221" s="2" t="s">
        <v>2032</v>
      </c>
      <c r="H221" s="2" t="s">
        <v>55</v>
      </c>
      <c r="I221" s="2" t="s">
        <v>2033</v>
      </c>
      <c r="J221" s="2" t="s">
        <v>2034</v>
      </c>
      <c r="K221" s="2" t="s">
        <v>2035</v>
      </c>
      <c r="L221" s="2" t="s">
        <v>55</v>
      </c>
      <c r="M221" s="2" t="s">
        <v>2036</v>
      </c>
      <c r="N221" s="2" t="s">
        <v>2037</v>
      </c>
      <c r="O221" s="2" t="s">
        <v>2038</v>
      </c>
      <c r="P221" s="2" t="s">
        <v>55</v>
      </c>
      <c r="Q221" s="3" t="str">
        <f t="shared" si="1"/>
        <v/>
      </c>
      <c r="R221" s="3" t="str">
        <f t="shared" si="2"/>
        <v/>
      </c>
      <c r="S221" s="3" t="str">
        <f t="shared" si="3"/>
        <v/>
      </c>
      <c r="T221" s="3" t="str">
        <f t="shared" si="4"/>
        <v/>
      </c>
      <c r="U221" s="3">
        <f t="shared" si="12"/>
        <v>78</v>
      </c>
      <c r="V221" s="3">
        <f t="shared" si="6"/>
        <v>61</v>
      </c>
      <c r="W221" s="3">
        <f t="shared" si="7"/>
        <v>92</v>
      </c>
      <c r="X221" s="3" t="str">
        <f t="shared" si="8"/>
        <v/>
      </c>
      <c r="Y221" s="3" t="str">
        <f t="shared" si="9"/>
        <v/>
      </c>
      <c r="Z221" s="3" t="str">
        <f t="shared" si="10"/>
        <v/>
      </c>
      <c r="AA221" s="3">
        <f t="shared" si="11"/>
        <v>0</v>
      </c>
    </row>
    <row r="222">
      <c r="A222" s="1" t="s">
        <v>2039</v>
      </c>
      <c r="B222" s="2" t="s">
        <v>28</v>
      </c>
      <c r="C222" s="2" t="s">
        <v>2040</v>
      </c>
      <c r="D222" s="2" t="s">
        <v>54</v>
      </c>
      <c r="E222" s="2" t="s">
        <v>54</v>
      </c>
      <c r="F222" s="2" t="s">
        <v>55</v>
      </c>
      <c r="G222" s="2" t="s">
        <v>55</v>
      </c>
      <c r="H222" s="2" t="s">
        <v>55</v>
      </c>
      <c r="I222" s="1" t="s">
        <v>112</v>
      </c>
      <c r="J222" s="1" t="s">
        <v>112</v>
      </c>
      <c r="K222" s="1" t="s">
        <v>112</v>
      </c>
      <c r="L222" s="1" t="s">
        <v>112</v>
      </c>
      <c r="M222" s="1" t="s">
        <v>112</v>
      </c>
      <c r="N222" s="1" t="s">
        <v>112</v>
      </c>
      <c r="O222" s="1" t="s">
        <v>112</v>
      </c>
      <c r="P222" s="1" t="s">
        <v>112</v>
      </c>
      <c r="Q222" s="3">
        <f t="shared" si="1"/>
        <v>5</v>
      </c>
      <c r="R222" s="3">
        <f t="shared" si="2"/>
        <v>0</v>
      </c>
      <c r="S222" s="3" t="str">
        <f t="shared" si="3"/>
        <v/>
      </c>
      <c r="T222" s="3" t="str">
        <f t="shared" si="4"/>
        <v/>
      </c>
      <c r="U222" s="3">
        <f t="shared" si="12"/>
        <v>100</v>
      </c>
      <c r="V222" s="3">
        <f t="shared" si="6"/>
        <v>0</v>
      </c>
      <c r="W222" s="3">
        <f t="shared" si="7"/>
        <v>0</v>
      </c>
      <c r="X222" s="3" t="str">
        <f t="shared" si="8"/>
        <v>full access</v>
      </c>
      <c r="Y222" s="3" t="str">
        <f t="shared" si="9"/>
        <v/>
      </c>
      <c r="Z222" s="3" t="str">
        <f t="shared" si="10"/>
        <v/>
      </c>
      <c r="AA222" s="3">
        <f t="shared" si="11"/>
        <v>0</v>
      </c>
    </row>
    <row r="223">
      <c r="A223" s="1" t="s">
        <v>2039</v>
      </c>
      <c r="B223" s="2" t="s">
        <v>43</v>
      </c>
      <c r="C223" s="2" t="s">
        <v>2041</v>
      </c>
      <c r="D223" s="2" t="s">
        <v>54</v>
      </c>
      <c r="E223" s="2" t="s">
        <v>54</v>
      </c>
      <c r="F223" s="2" t="s">
        <v>55</v>
      </c>
      <c r="G223" s="2" t="s">
        <v>55</v>
      </c>
      <c r="H223" s="2" t="s">
        <v>55</v>
      </c>
      <c r="I223" s="1" t="s">
        <v>112</v>
      </c>
      <c r="J223" s="1" t="s">
        <v>112</v>
      </c>
      <c r="K223" s="1" t="s">
        <v>112</v>
      </c>
      <c r="L223" s="1" t="s">
        <v>112</v>
      </c>
      <c r="M223" s="1" t="s">
        <v>112</v>
      </c>
      <c r="N223" s="1" t="s">
        <v>112</v>
      </c>
      <c r="O223" s="1" t="s">
        <v>112</v>
      </c>
      <c r="P223" s="1" t="s">
        <v>112</v>
      </c>
      <c r="Q223" s="3" t="str">
        <f t="shared" si="1"/>
        <v/>
      </c>
      <c r="R223" s="3" t="str">
        <f t="shared" si="2"/>
        <v/>
      </c>
      <c r="S223" s="3" t="str">
        <f t="shared" si="3"/>
        <v/>
      </c>
      <c r="T223" s="3" t="str">
        <f t="shared" si="4"/>
        <v/>
      </c>
      <c r="U223" s="3">
        <f t="shared" si="12"/>
        <v>100</v>
      </c>
      <c r="V223" s="3">
        <f t="shared" si="6"/>
        <v>0</v>
      </c>
      <c r="W223" s="3">
        <f t="shared" si="7"/>
        <v>0</v>
      </c>
      <c r="X223" s="3" t="str">
        <f t="shared" si="8"/>
        <v/>
      </c>
      <c r="Y223" s="3" t="str">
        <f t="shared" si="9"/>
        <v/>
      </c>
      <c r="Z223" s="3" t="str">
        <f t="shared" si="10"/>
        <v/>
      </c>
      <c r="AA223" s="3">
        <f t="shared" si="11"/>
        <v>0</v>
      </c>
    </row>
    <row r="224">
      <c r="A224" s="1" t="s">
        <v>2042</v>
      </c>
      <c r="B224" s="2" t="s">
        <v>28</v>
      </c>
      <c r="C224" s="2" t="s">
        <v>2043</v>
      </c>
      <c r="D224" s="2" t="s">
        <v>2044</v>
      </c>
      <c r="E224" s="2" t="s">
        <v>2045</v>
      </c>
      <c r="F224" s="2" t="s">
        <v>2046</v>
      </c>
      <c r="G224" s="2" t="s">
        <v>2047</v>
      </c>
      <c r="H224" s="2" t="s">
        <v>2048</v>
      </c>
      <c r="I224" s="2" t="s">
        <v>2049</v>
      </c>
      <c r="J224" s="2" t="s">
        <v>2050</v>
      </c>
      <c r="K224" s="2" t="s">
        <v>2051</v>
      </c>
      <c r="L224" s="2" t="s">
        <v>2052</v>
      </c>
      <c r="M224" s="2" t="s">
        <v>2053</v>
      </c>
      <c r="N224" s="2" t="s">
        <v>2054</v>
      </c>
      <c r="O224" s="2" t="s">
        <v>2055</v>
      </c>
      <c r="P224" s="2" t="s">
        <v>2056</v>
      </c>
      <c r="Q224" s="3">
        <f t="shared" si="1"/>
        <v>5</v>
      </c>
      <c r="R224" s="3">
        <f t="shared" si="2"/>
        <v>0.651508794</v>
      </c>
      <c r="S224" s="3">
        <f t="shared" si="3"/>
        <v>0.830642272</v>
      </c>
      <c r="T224" s="3">
        <f t="shared" si="4"/>
        <v>0.257269172</v>
      </c>
      <c r="U224" s="3">
        <f t="shared" si="12"/>
        <v>88</v>
      </c>
      <c r="V224" s="3">
        <f t="shared" si="6"/>
        <v>83</v>
      </c>
      <c r="W224" s="3">
        <f t="shared" si="7"/>
        <v>98</v>
      </c>
      <c r="X224" s="3" t="str">
        <f t="shared" si="8"/>
        <v/>
      </c>
      <c r="Y224" s="3" t="str">
        <f t="shared" si="9"/>
        <v/>
      </c>
      <c r="Z224" s="3" t="str">
        <f t="shared" si="10"/>
        <v/>
      </c>
      <c r="AA224" s="3">
        <f t="shared" si="11"/>
        <v>0.5733731</v>
      </c>
    </row>
    <row r="225">
      <c r="A225" s="1" t="s">
        <v>2042</v>
      </c>
      <c r="B225" s="2" t="s">
        <v>43</v>
      </c>
      <c r="C225" s="2" t="s">
        <v>2057</v>
      </c>
      <c r="D225" s="2" t="s">
        <v>2058</v>
      </c>
      <c r="E225" s="2" t="s">
        <v>2059</v>
      </c>
      <c r="F225" s="2" t="s">
        <v>2060</v>
      </c>
      <c r="G225" s="2" t="s">
        <v>2061</v>
      </c>
      <c r="H225" s="2" t="s">
        <v>2062</v>
      </c>
      <c r="I225" s="2" t="s">
        <v>2063</v>
      </c>
      <c r="J225" s="2" t="s">
        <v>2064</v>
      </c>
      <c r="K225" s="2" t="s">
        <v>2065</v>
      </c>
      <c r="L225" s="2" t="s">
        <v>2066</v>
      </c>
      <c r="M225" s="2" t="s">
        <v>2067</v>
      </c>
      <c r="N225" s="2" t="s">
        <v>2068</v>
      </c>
      <c r="O225" s="2" t="s">
        <v>55</v>
      </c>
      <c r="P225" s="2" t="s">
        <v>55</v>
      </c>
      <c r="Q225" s="3" t="str">
        <f t="shared" si="1"/>
        <v/>
      </c>
      <c r="R225" s="3" t="str">
        <f t="shared" si="2"/>
        <v/>
      </c>
      <c r="S225" s="3" t="str">
        <f t="shared" si="3"/>
        <v/>
      </c>
      <c r="T225" s="3" t="str">
        <f t="shared" si="4"/>
        <v/>
      </c>
      <c r="U225" s="3">
        <f t="shared" si="12"/>
        <v>92</v>
      </c>
      <c r="V225" s="3">
        <f t="shared" si="6"/>
        <v>87</v>
      </c>
      <c r="W225" s="3">
        <f t="shared" si="7"/>
        <v>99</v>
      </c>
      <c r="X225" s="3" t="str">
        <f t="shared" si="8"/>
        <v/>
      </c>
      <c r="Y225" s="3" t="str">
        <f t="shared" si="9"/>
        <v/>
      </c>
      <c r="Z225" s="3" t="str">
        <f t="shared" si="10"/>
        <v/>
      </c>
      <c r="AA225" s="3">
        <f t="shared" si="11"/>
        <v>0</v>
      </c>
    </row>
    <row r="226">
      <c r="A226" s="1" t="s">
        <v>2069</v>
      </c>
      <c r="B226" s="2" t="s">
        <v>28</v>
      </c>
      <c r="C226" s="2" t="s">
        <v>2070</v>
      </c>
      <c r="D226" s="2" t="s">
        <v>2071</v>
      </c>
      <c r="E226" s="2" t="s">
        <v>2072</v>
      </c>
      <c r="F226" s="2" t="s">
        <v>2073</v>
      </c>
      <c r="G226" s="2" t="s">
        <v>2074</v>
      </c>
      <c r="H226" s="2" t="s">
        <v>2075</v>
      </c>
      <c r="I226" s="2" t="s">
        <v>2076</v>
      </c>
      <c r="J226" s="2" t="s">
        <v>2077</v>
      </c>
      <c r="K226" s="2" t="s">
        <v>2078</v>
      </c>
      <c r="L226" s="2" t="s">
        <v>2079</v>
      </c>
      <c r="M226" s="2" t="s">
        <v>2080</v>
      </c>
      <c r="N226" s="2" t="s">
        <v>2081</v>
      </c>
      <c r="O226" s="2" t="s">
        <v>2082</v>
      </c>
      <c r="P226" s="2" t="s">
        <v>2083</v>
      </c>
      <c r="Q226" s="3">
        <f t="shared" si="1"/>
        <v>5</v>
      </c>
      <c r="R226" s="3">
        <f t="shared" si="2"/>
        <v>1.551834194</v>
      </c>
      <c r="S226" s="3">
        <f t="shared" si="3"/>
        <v>1.646654574</v>
      </c>
      <c r="T226" s="3">
        <f t="shared" si="4"/>
        <v>1.002896448</v>
      </c>
      <c r="U226" s="3">
        <f t="shared" si="12"/>
        <v>77</v>
      </c>
      <c r="V226" s="3">
        <f t="shared" si="6"/>
        <v>70</v>
      </c>
      <c r="W226" s="3">
        <f t="shared" si="7"/>
        <v>92</v>
      </c>
      <c r="X226" s="3" t="str">
        <f t="shared" si="8"/>
        <v/>
      </c>
      <c r="Y226" s="3" t="str">
        <f t="shared" si="9"/>
        <v/>
      </c>
      <c r="Z226" s="3" t="str">
        <f t="shared" si="10"/>
        <v/>
      </c>
      <c r="AA226" s="3">
        <f t="shared" si="11"/>
        <v>0.643758126</v>
      </c>
    </row>
    <row r="227">
      <c r="A227" s="1" t="s">
        <v>2069</v>
      </c>
      <c r="B227" s="2" t="s">
        <v>43</v>
      </c>
      <c r="C227" s="2" t="s">
        <v>2084</v>
      </c>
      <c r="D227" s="2" t="s">
        <v>2085</v>
      </c>
      <c r="E227" s="2" t="s">
        <v>2086</v>
      </c>
      <c r="F227" s="2" t="s">
        <v>2087</v>
      </c>
      <c r="G227" s="2" t="s">
        <v>2088</v>
      </c>
      <c r="H227" s="2" t="s">
        <v>2089</v>
      </c>
      <c r="I227" s="2" t="s">
        <v>2090</v>
      </c>
      <c r="J227" s="2" t="s">
        <v>2091</v>
      </c>
      <c r="K227" s="2" t="s">
        <v>2092</v>
      </c>
      <c r="L227" s="2" t="s">
        <v>2093</v>
      </c>
      <c r="M227" s="2" t="s">
        <v>2094</v>
      </c>
      <c r="N227" s="2" t="s">
        <v>55</v>
      </c>
      <c r="O227" s="2" t="s">
        <v>2095</v>
      </c>
      <c r="P227" s="2" t="s">
        <v>55</v>
      </c>
      <c r="Q227" s="3" t="str">
        <f t="shared" si="1"/>
        <v/>
      </c>
      <c r="R227" s="3" t="str">
        <f t="shared" si="2"/>
        <v/>
      </c>
      <c r="S227" s="3" t="str">
        <f t="shared" si="3"/>
        <v/>
      </c>
      <c r="T227" s="3" t="str">
        <f t="shared" si="4"/>
        <v/>
      </c>
      <c r="U227" s="3">
        <f t="shared" si="12"/>
        <v>85</v>
      </c>
      <c r="V227" s="3">
        <f t="shared" si="6"/>
        <v>78</v>
      </c>
      <c r="W227" s="3">
        <f t="shared" si="7"/>
        <v>97</v>
      </c>
      <c r="X227" s="3" t="str">
        <f t="shared" si="8"/>
        <v/>
      </c>
      <c r="Y227" s="3" t="str">
        <f t="shared" si="9"/>
        <v/>
      </c>
      <c r="Z227" s="3" t="str">
        <f t="shared" si="10"/>
        <v/>
      </c>
      <c r="AA227" s="3">
        <f t="shared" si="11"/>
        <v>0</v>
      </c>
    </row>
    <row r="228">
      <c r="A228" s="1" t="s">
        <v>2096</v>
      </c>
      <c r="B228" s="2" t="s">
        <v>28</v>
      </c>
      <c r="C228" s="2" t="s">
        <v>2097</v>
      </c>
      <c r="D228" s="2" t="s">
        <v>2098</v>
      </c>
      <c r="E228" s="2" t="s">
        <v>2099</v>
      </c>
      <c r="F228" s="2" t="s">
        <v>2100</v>
      </c>
      <c r="G228" s="2" t="s">
        <v>2101</v>
      </c>
      <c r="H228" s="2" t="s">
        <v>55</v>
      </c>
      <c r="I228" s="2" t="s">
        <v>2102</v>
      </c>
      <c r="J228" s="2" t="s">
        <v>55</v>
      </c>
      <c r="K228" s="2" t="s">
        <v>2103</v>
      </c>
      <c r="L228" s="2" t="s">
        <v>55</v>
      </c>
      <c r="M228" s="2" t="s">
        <v>2104</v>
      </c>
      <c r="N228" s="2" t="s">
        <v>2105</v>
      </c>
      <c r="O228" s="2" t="s">
        <v>2106</v>
      </c>
      <c r="P228" s="2" t="s">
        <v>55</v>
      </c>
      <c r="Q228" s="3">
        <f t="shared" si="1"/>
        <v>5</v>
      </c>
      <c r="R228" s="3">
        <f t="shared" si="2"/>
        <v>0.051496774</v>
      </c>
      <c r="S228" s="3">
        <f t="shared" si="3"/>
        <v>0.144900826</v>
      </c>
      <c r="T228" s="3">
        <f t="shared" si="4"/>
        <v>0.00720627</v>
      </c>
      <c r="U228" s="3">
        <f t="shared" si="12"/>
        <v>99</v>
      </c>
      <c r="V228" s="3">
        <f t="shared" si="6"/>
        <v>98</v>
      </c>
      <c r="W228" s="3">
        <f t="shared" si="7"/>
        <v>99</v>
      </c>
      <c r="X228" s="3" t="str">
        <f t="shared" si="8"/>
        <v/>
      </c>
      <c r="Y228" s="3" t="str">
        <f t="shared" si="9"/>
        <v/>
      </c>
      <c r="Z228" s="3" t="str">
        <f t="shared" si="10"/>
        <v/>
      </c>
      <c r="AA228" s="3">
        <f t="shared" si="11"/>
        <v>0.137694556</v>
      </c>
    </row>
    <row r="229">
      <c r="A229" s="1" t="s">
        <v>2096</v>
      </c>
      <c r="B229" s="2" t="s">
        <v>43</v>
      </c>
      <c r="C229" s="2" t="s">
        <v>2107</v>
      </c>
      <c r="D229" s="2" t="s">
        <v>2108</v>
      </c>
      <c r="E229" s="2" t="s">
        <v>2109</v>
      </c>
      <c r="F229" s="2" t="s">
        <v>2110</v>
      </c>
      <c r="G229" s="2" t="s">
        <v>2111</v>
      </c>
      <c r="H229" s="2" t="s">
        <v>55</v>
      </c>
      <c r="I229" s="2" t="s">
        <v>2112</v>
      </c>
      <c r="J229" s="2" t="s">
        <v>55</v>
      </c>
      <c r="K229" s="2" t="s">
        <v>2113</v>
      </c>
      <c r="L229" s="2" t="s">
        <v>55</v>
      </c>
      <c r="M229" s="2" t="s">
        <v>2114</v>
      </c>
      <c r="N229" s="2" t="s">
        <v>2115</v>
      </c>
      <c r="O229" s="2" t="s">
        <v>2116</v>
      </c>
      <c r="P229" s="2" t="s">
        <v>55</v>
      </c>
      <c r="Q229" s="3" t="str">
        <f t="shared" si="1"/>
        <v/>
      </c>
      <c r="R229" s="3" t="str">
        <f t="shared" si="2"/>
        <v/>
      </c>
      <c r="S229" s="3" t="str">
        <f t="shared" si="3"/>
        <v/>
      </c>
      <c r="T229" s="3" t="str">
        <f t="shared" si="4"/>
        <v/>
      </c>
      <c r="U229" s="3">
        <f t="shared" si="12"/>
        <v>99</v>
      </c>
      <c r="V229" s="3">
        <f t="shared" si="6"/>
        <v>99</v>
      </c>
      <c r="W229" s="3">
        <f t="shared" si="7"/>
        <v>99</v>
      </c>
      <c r="X229" s="3" t="str">
        <f t="shared" si="8"/>
        <v/>
      </c>
      <c r="Y229" s="3" t="str">
        <f t="shared" si="9"/>
        <v/>
      </c>
      <c r="Z229" s="3" t="str">
        <f t="shared" si="10"/>
        <v/>
      </c>
      <c r="AA229" s="3">
        <f t="shared" si="11"/>
        <v>0</v>
      </c>
    </row>
    <row r="230">
      <c r="A230" s="1" t="s">
        <v>2117</v>
      </c>
      <c r="B230" s="2" t="s">
        <v>28</v>
      </c>
      <c r="C230" s="2" t="s">
        <v>2118</v>
      </c>
      <c r="D230" s="2" t="s">
        <v>2119</v>
      </c>
      <c r="E230" s="2" t="s">
        <v>2120</v>
      </c>
      <c r="F230" s="2" t="s">
        <v>2121</v>
      </c>
      <c r="G230" s="2" t="s">
        <v>2122</v>
      </c>
      <c r="H230" s="2" t="s">
        <v>2123</v>
      </c>
      <c r="I230" s="1" t="s">
        <v>112</v>
      </c>
      <c r="J230" s="1" t="s">
        <v>112</v>
      </c>
      <c r="K230" s="1" t="s">
        <v>112</v>
      </c>
      <c r="L230" s="1" t="s">
        <v>112</v>
      </c>
      <c r="M230" s="1" t="s">
        <v>112</v>
      </c>
      <c r="N230" s="1" t="s">
        <v>112</v>
      </c>
      <c r="O230" s="1" t="s">
        <v>112</v>
      </c>
      <c r="P230" s="1" t="s">
        <v>112</v>
      </c>
      <c r="Q230" s="3">
        <f t="shared" si="1"/>
        <v>5</v>
      </c>
      <c r="R230" s="3">
        <f t="shared" si="2"/>
        <v>0.275135498</v>
      </c>
      <c r="S230" s="3" t="str">
        <f t="shared" si="3"/>
        <v/>
      </c>
      <c r="T230" s="3" t="str">
        <f t="shared" si="4"/>
        <v/>
      </c>
      <c r="U230" s="3">
        <f t="shared" si="12"/>
        <v>91</v>
      </c>
      <c r="V230" s="3">
        <f t="shared" si="6"/>
        <v>0</v>
      </c>
      <c r="W230" s="3">
        <f t="shared" si="7"/>
        <v>0</v>
      </c>
      <c r="X230" s="3" t="str">
        <f t="shared" si="8"/>
        <v/>
      </c>
      <c r="Y230" s="3" t="str">
        <f t="shared" si="9"/>
        <v/>
      </c>
      <c r="Z230" s="3" t="str">
        <f t="shared" si="10"/>
        <v/>
      </c>
      <c r="AA230" s="3">
        <f t="shared" si="11"/>
        <v>0</v>
      </c>
    </row>
    <row r="231">
      <c r="A231" s="1" t="s">
        <v>2117</v>
      </c>
      <c r="B231" s="2" t="s">
        <v>43</v>
      </c>
      <c r="C231" s="2" t="s">
        <v>2124</v>
      </c>
      <c r="D231" s="2" t="s">
        <v>2125</v>
      </c>
      <c r="E231" s="2" t="s">
        <v>2126</v>
      </c>
      <c r="F231" s="2" t="s">
        <v>2127</v>
      </c>
      <c r="G231" s="2" t="s">
        <v>55</v>
      </c>
      <c r="H231" s="2" t="s">
        <v>55</v>
      </c>
      <c r="I231" s="1" t="s">
        <v>112</v>
      </c>
      <c r="J231" s="1" t="s">
        <v>112</v>
      </c>
      <c r="K231" s="1" t="s">
        <v>112</v>
      </c>
      <c r="L231" s="1" t="s">
        <v>112</v>
      </c>
      <c r="M231" s="1" t="s">
        <v>112</v>
      </c>
      <c r="N231" s="1" t="s">
        <v>112</v>
      </c>
      <c r="O231" s="1" t="s">
        <v>112</v>
      </c>
      <c r="P231" s="1" t="s">
        <v>112</v>
      </c>
      <c r="Q231" s="3" t="str">
        <f t="shared" si="1"/>
        <v/>
      </c>
      <c r="R231" s="3" t="str">
        <f t="shared" si="2"/>
        <v/>
      </c>
      <c r="S231" s="3" t="str">
        <f t="shared" si="3"/>
        <v/>
      </c>
      <c r="T231" s="3" t="str">
        <f t="shared" si="4"/>
        <v/>
      </c>
      <c r="U231" s="3">
        <f t="shared" si="12"/>
        <v>93</v>
      </c>
      <c r="V231" s="3">
        <f t="shared" si="6"/>
        <v>0</v>
      </c>
      <c r="W231" s="3">
        <f t="shared" si="7"/>
        <v>0</v>
      </c>
      <c r="X231" s="3" t="str">
        <f t="shared" si="8"/>
        <v/>
      </c>
      <c r="Y231" s="3" t="str">
        <f t="shared" si="9"/>
        <v/>
      </c>
      <c r="Z231" s="3" t="str">
        <f t="shared" si="10"/>
        <v/>
      </c>
      <c r="AA231" s="3">
        <f t="shared" si="11"/>
        <v>0</v>
      </c>
    </row>
    <row r="232">
      <c r="A232" s="1" t="s">
        <v>2128</v>
      </c>
      <c r="B232" s="2" t="s">
        <v>28</v>
      </c>
      <c r="C232" s="2" t="s">
        <v>2129</v>
      </c>
      <c r="D232" s="2" t="s">
        <v>2130</v>
      </c>
      <c r="E232" s="2" t="s">
        <v>2131</v>
      </c>
      <c r="F232" s="2" t="s">
        <v>2132</v>
      </c>
      <c r="G232" s="2" t="s">
        <v>2133</v>
      </c>
      <c r="H232" s="2" t="s">
        <v>2134</v>
      </c>
      <c r="I232" s="2" t="s">
        <v>2135</v>
      </c>
      <c r="J232" s="2" t="s">
        <v>2136</v>
      </c>
      <c r="K232" s="2" t="s">
        <v>2137</v>
      </c>
      <c r="L232" s="2" t="s">
        <v>2138</v>
      </c>
      <c r="M232" s="2" t="s">
        <v>2139</v>
      </c>
      <c r="N232" s="2" t="s">
        <v>2140</v>
      </c>
      <c r="O232" s="2" t="s">
        <v>2141</v>
      </c>
      <c r="P232" s="2" t="s">
        <v>2142</v>
      </c>
      <c r="Q232" s="3">
        <f t="shared" si="1"/>
        <v>5</v>
      </c>
      <c r="R232" s="3">
        <f t="shared" si="2"/>
        <v>0.326069974</v>
      </c>
      <c r="S232" s="3">
        <f t="shared" si="3"/>
        <v>0.045894334</v>
      </c>
      <c r="T232" s="3">
        <f t="shared" si="4"/>
        <v>0.624326482</v>
      </c>
      <c r="U232" s="3">
        <f t="shared" si="12"/>
        <v>71</v>
      </c>
      <c r="V232" s="3">
        <f t="shared" si="6"/>
        <v>63</v>
      </c>
      <c r="W232" s="3">
        <f t="shared" si="7"/>
        <v>90</v>
      </c>
      <c r="X232" s="3" t="str">
        <f t="shared" si="8"/>
        <v/>
      </c>
      <c r="Y232" s="3" t="str">
        <f t="shared" si="9"/>
        <v/>
      </c>
      <c r="Z232" s="3" t="str">
        <f t="shared" si="10"/>
        <v/>
      </c>
      <c r="AA232" s="3">
        <f t="shared" si="11"/>
        <v>-0.578432148</v>
      </c>
    </row>
    <row r="233">
      <c r="A233" s="1" t="s">
        <v>2128</v>
      </c>
      <c r="B233" s="2" t="s">
        <v>43</v>
      </c>
      <c r="C233" s="2" t="s">
        <v>2143</v>
      </c>
      <c r="D233" s="2" t="s">
        <v>2144</v>
      </c>
      <c r="E233" s="2" t="s">
        <v>2145</v>
      </c>
      <c r="F233" s="2" t="s">
        <v>2146</v>
      </c>
      <c r="G233" s="2" t="s">
        <v>2147</v>
      </c>
      <c r="H233" s="2" t="s">
        <v>2148</v>
      </c>
      <c r="I233" s="2" t="s">
        <v>2149</v>
      </c>
      <c r="J233" s="2" t="s">
        <v>2150</v>
      </c>
      <c r="K233" s="2" t="s">
        <v>2151</v>
      </c>
      <c r="L233" s="2" t="s">
        <v>2152</v>
      </c>
      <c r="M233" s="2" t="s">
        <v>2153</v>
      </c>
      <c r="N233" s="2" t="s">
        <v>2154</v>
      </c>
      <c r="O233" s="2" t="s">
        <v>2155</v>
      </c>
      <c r="P233" s="2" t="s">
        <v>2156</v>
      </c>
      <c r="Q233" s="3" t="str">
        <f t="shared" si="1"/>
        <v/>
      </c>
      <c r="R233" s="3" t="str">
        <f t="shared" si="2"/>
        <v/>
      </c>
      <c r="S233" s="3" t="str">
        <f t="shared" si="3"/>
        <v/>
      </c>
      <c r="T233" s="3" t="str">
        <f t="shared" si="4"/>
        <v/>
      </c>
      <c r="U233" s="3">
        <f t="shared" si="12"/>
        <v>72</v>
      </c>
      <c r="V233" s="3">
        <f t="shared" si="6"/>
        <v>64</v>
      </c>
      <c r="W233" s="3">
        <f t="shared" si="7"/>
        <v>93</v>
      </c>
      <c r="X233" s="3" t="str">
        <f t="shared" si="8"/>
        <v/>
      </c>
      <c r="Y233" s="3" t="str">
        <f t="shared" si="9"/>
        <v/>
      </c>
      <c r="Z233" s="3" t="str">
        <f t="shared" si="10"/>
        <v/>
      </c>
      <c r="AA233" s="3">
        <f t="shared" si="11"/>
        <v>0</v>
      </c>
    </row>
    <row r="234">
      <c r="A234" s="1" t="s">
        <v>2157</v>
      </c>
      <c r="B234" s="2" t="s">
        <v>28</v>
      </c>
      <c r="C234" s="2" t="s">
        <v>2158</v>
      </c>
      <c r="D234" s="2" t="s">
        <v>2159</v>
      </c>
      <c r="E234" s="2" t="s">
        <v>2160</v>
      </c>
      <c r="F234" s="2" t="s">
        <v>2161</v>
      </c>
      <c r="G234" s="2" t="s">
        <v>2162</v>
      </c>
      <c r="H234" s="2" t="s">
        <v>2163</v>
      </c>
      <c r="I234" s="2" t="s">
        <v>2164</v>
      </c>
      <c r="J234" s="2" t="s">
        <v>2165</v>
      </c>
      <c r="K234" s="2" t="s">
        <v>2166</v>
      </c>
      <c r="L234" s="2" t="s">
        <v>2167</v>
      </c>
      <c r="M234" s="2" t="s">
        <v>2168</v>
      </c>
      <c r="N234" s="2" t="s">
        <v>2169</v>
      </c>
      <c r="O234" s="2" t="s">
        <v>2170</v>
      </c>
      <c r="P234" s="2" t="s">
        <v>2171</v>
      </c>
      <c r="Q234" s="3">
        <f t="shared" si="1"/>
        <v>5</v>
      </c>
      <c r="R234" s="3">
        <f t="shared" si="2"/>
        <v>0.53839993</v>
      </c>
      <c r="S234" s="3">
        <f t="shared" si="3"/>
        <v>0.567406986</v>
      </c>
      <c r="T234" s="3">
        <f t="shared" si="4"/>
        <v>0.314001124</v>
      </c>
      <c r="U234" s="3">
        <f t="shared" si="12"/>
        <v>73</v>
      </c>
      <c r="V234" s="3">
        <f t="shared" si="6"/>
        <v>61</v>
      </c>
      <c r="W234" s="3">
        <f t="shared" si="7"/>
        <v>84</v>
      </c>
      <c r="X234" s="3" t="str">
        <f t="shared" si="8"/>
        <v/>
      </c>
      <c r="Y234" s="3" t="str">
        <f t="shared" si="9"/>
        <v/>
      </c>
      <c r="Z234" s="3" t="str">
        <f t="shared" si="10"/>
        <v/>
      </c>
      <c r="AA234" s="3">
        <f t="shared" si="11"/>
        <v>0.253405862</v>
      </c>
    </row>
    <row r="235">
      <c r="A235" s="1" t="s">
        <v>2157</v>
      </c>
      <c r="B235" s="2" t="s">
        <v>43</v>
      </c>
      <c r="C235" s="2" t="s">
        <v>2172</v>
      </c>
      <c r="D235" s="2" t="s">
        <v>2173</v>
      </c>
      <c r="E235" s="2" t="s">
        <v>2174</v>
      </c>
      <c r="F235" s="2" t="s">
        <v>2175</v>
      </c>
      <c r="G235" s="2" t="s">
        <v>2176</v>
      </c>
      <c r="H235" s="2" t="s">
        <v>2177</v>
      </c>
      <c r="I235" s="2" t="s">
        <v>2178</v>
      </c>
      <c r="J235" s="2" t="s">
        <v>2179</v>
      </c>
      <c r="K235" s="2" t="s">
        <v>2180</v>
      </c>
      <c r="L235" s="2" t="s">
        <v>2181</v>
      </c>
      <c r="M235" s="2" t="s">
        <v>2182</v>
      </c>
      <c r="N235" s="2" t="s">
        <v>2183</v>
      </c>
      <c r="O235" s="2" t="s">
        <v>2184</v>
      </c>
      <c r="P235" s="2" t="s">
        <v>2185</v>
      </c>
      <c r="Q235" s="3" t="str">
        <f t="shared" si="1"/>
        <v/>
      </c>
      <c r="R235" s="3" t="str">
        <f t="shared" si="2"/>
        <v/>
      </c>
      <c r="S235" s="3" t="str">
        <f t="shared" si="3"/>
        <v/>
      </c>
      <c r="T235" s="3" t="str">
        <f t="shared" si="4"/>
        <v/>
      </c>
      <c r="U235" s="3">
        <f t="shared" si="12"/>
        <v>75</v>
      </c>
      <c r="V235" s="3">
        <f t="shared" si="6"/>
        <v>64</v>
      </c>
      <c r="W235" s="3">
        <f t="shared" si="7"/>
        <v>86</v>
      </c>
      <c r="X235" s="3" t="str">
        <f t="shared" si="8"/>
        <v/>
      </c>
      <c r="Y235" s="3" t="str">
        <f t="shared" si="9"/>
        <v/>
      </c>
      <c r="Z235" s="3" t="str">
        <f t="shared" si="10"/>
        <v/>
      </c>
      <c r="AA235" s="3">
        <f t="shared" si="11"/>
        <v>0</v>
      </c>
    </row>
    <row r="236">
      <c r="A236" s="1" t="s">
        <v>2186</v>
      </c>
      <c r="B236" s="2" t="s">
        <v>28</v>
      </c>
      <c r="C236" s="2" t="s">
        <v>2187</v>
      </c>
      <c r="D236" s="2" t="s">
        <v>2188</v>
      </c>
      <c r="E236" s="2" t="s">
        <v>2189</v>
      </c>
      <c r="F236" s="2" t="s">
        <v>55</v>
      </c>
      <c r="G236" s="2" t="s">
        <v>2190</v>
      </c>
      <c r="H236" s="2" t="s">
        <v>55</v>
      </c>
      <c r="I236" s="1" t="s">
        <v>112</v>
      </c>
      <c r="J236" s="1" t="s">
        <v>112</v>
      </c>
      <c r="K236" s="1" t="s">
        <v>112</v>
      </c>
      <c r="L236" s="1" t="s">
        <v>112</v>
      </c>
      <c r="M236" s="1" t="s">
        <v>112</v>
      </c>
      <c r="N236" s="1" t="s">
        <v>112</v>
      </c>
      <c r="O236" s="1" t="s">
        <v>112</v>
      </c>
      <c r="P236" s="1" t="s">
        <v>112</v>
      </c>
      <c r="Q236" s="3">
        <f t="shared" si="1"/>
        <v>5</v>
      </c>
      <c r="R236" s="3">
        <f t="shared" si="2"/>
        <v>0.521981728</v>
      </c>
      <c r="S236" s="3" t="str">
        <f t="shared" si="3"/>
        <v/>
      </c>
      <c r="T236" s="3" t="str">
        <f t="shared" si="4"/>
        <v/>
      </c>
      <c r="U236" s="3">
        <f t="shared" si="12"/>
        <v>97</v>
      </c>
      <c r="V236" s="3">
        <f t="shared" si="6"/>
        <v>0</v>
      </c>
      <c r="W236" s="3">
        <f t="shared" si="7"/>
        <v>0</v>
      </c>
      <c r="X236" s="3" t="str">
        <f t="shared" si="8"/>
        <v/>
      </c>
      <c r="Y236" s="3" t="str">
        <f t="shared" si="9"/>
        <v/>
      </c>
      <c r="Z236" s="3" t="str">
        <f t="shared" si="10"/>
        <v/>
      </c>
      <c r="AA236" s="3">
        <f t="shared" si="11"/>
        <v>0</v>
      </c>
    </row>
    <row r="237">
      <c r="A237" s="1" t="s">
        <v>2186</v>
      </c>
      <c r="B237" s="2" t="s">
        <v>43</v>
      </c>
      <c r="C237" s="2" t="s">
        <v>2191</v>
      </c>
      <c r="D237" s="2" t="s">
        <v>2192</v>
      </c>
      <c r="E237" s="2" t="s">
        <v>2193</v>
      </c>
      <c r="F237" s="2" t="s">
        <v>55</v>
      </c>
      <c r="G237" s="2" t="s">
        <v>2194</v>
      </c>
      <c r="H237" s="2" t="s">
        <v>55</v>
      </c>
      <c r="I237" s="1" t="s">
        <v>112</v>
      </c>
      <c r="J237" s="1" t="s">
        <v>112</v>
      </c>
      <c r="K237" s="1" t="s">
        <v>112</v>
      </c>
      <c r="L237" s="1" t="s">
        <v>112</v>
      </c>
      <c r="M237" s="1" t="s">
        <v>112</v>
      </c>
      <c r="N237" s="1" t="s">
        <v>112</v>
      </c>
      <c r="O237" s="1" t="s">
        <v>112</v>
      </c>
      <c r="P237" s="1" t="s">
        <v>112</v>
      </c>
      <c r="Q237" s="3" t="str">
        <f t="shared" si="1"/>
        <v/>
      </c>
      <c r="R237" s="3" t="str">
        <f t="shared" si="2"/>
        <v/>
      </c>
      <c r="S237" s="3" t="str">
        <f t="shared" si="3"/>
        <v/>
      </c>
      <c r="T237" s="3" t="str">
        <f t="shared" si="4"/>
        <v/>
      </c>
      <c r="U237" s="3">
        <f t="shared" si="12"/>
        <v>100</v>
      </c>
      <c r="V237" s="3">
        <f t="shared" si="6"/>
        <v>0</v>
      </c>
      <c r="W237" s="3">
        <f t="shared" si="7"/>
        <v>0</v>
      </c>
      <c r="X237" s="3" t="str">
        <f t="shared" si="8"/>
        <v/>
      </c>
      <c r="Y237" s="3" t="str">
        <f t="shared" si="9"/>
        <v/>
      </c>
      <c r="Z237" s="3" t="str">
        <f t="shared" si="10"/>
        <v/>
      </c>
      <c r="AA237" s="3">
        <f t="shared" si="11"/>
        <v>0</v>
      </c>
    </row>
    <row r="238">
      <c r="A238" s="1" t="s">
        <v>2195</v>
      </c>
      <c r="B238" s="2" t="s">
        <v>28</v>
      </c>
      <c r="C238" s="2" t="s">
        <v>2196</v>
      </c>
      <c r="D238" s="2" t="s">
        <v>2197</v>
      </c>
      <c r="E238" s="2" t="s">
        <v>54</v>
      </c>
      <c r="F238" s="2" t="s">
        <v>55</v>
      </c>
      <c r="G238" s="2" t="s">
        <v>55</v>
      </c>
      <c r="H238" s="2" t="s">
        <v>55</v>
      </c>
      <c r="I238" s="1" t="s">
        <v>112</v>
      </c>
      <c r="J238" s="1" t="s">
        <v>112</v>
      </c>
      <c r="K238" s="1" t="s">
        <v>112</v>
      </c>
      <c r="L238" s="1" t="s">
        <v>112</v>
      </c>
      <c r="M238" s="1" t="s">
        <v>112</v>
      </c>
      <c r="N238" s="1" t="s">
        <v>112</v>
      </c>
      <c r="O238" s="1" t="s">
        <v>112</v>
      </c>
      <c r="P238" s="1" t="s">
        <v>112</v>
      </c>
      <c r="Q238" s="3">
        <f t="shared" si="1"/>
        <v>5</v>
      </c>
      <c r="R238" s="3">
        <f t="shared" si="2"/>
        <v>0</v>
      </c>
      <c r="S238" s="3" t="str">
        <f t="shared" si="3"/>
        <v/>
      </c>
      <c r="T238" s="3" t="str">
        <f t="shared" si="4"/>
        <v/>
      </c>
      <c r="U238" s="3">
        <f t="shared" si="12"/>
        <v>100</v>
      </c>
      <c r="V238" s="3">
        <f t="shared" si="6"/>
        <v>0</v>
      </c>
      <c r="W238" s="3">
        <f t="shared" si="7"/>
        <v>0</v>
      </c>
      <c r="X238" s="3" t="str">
        <f t="shared" si="8"/>
        <v>full access</v>
      </c>
      <c r="Y238" s="3" t="str">
        <f t="shared" si="9"/>
        <v/>
      </c>
      <c r="Z238" s="3" t="str">
        <f t="shared" si="10"/>
        <v/>
      </c>
      <c r="AA238" s="3">
        <f t="shared" si="11"/>
        <v>0</v>
      </c>
    </row>
    <row r="239">
      <c r="A239" s="1" t="s">
        <v>2195</v>
      </c>
      <c r="B239" s="2" t="s">
        <v>43</v>
      </c>
      <c r="C239" s="2" t="s">
        <v>2198</v>
      </c>
      <c r="D239" s="2" t="s">
        <v>2199</v>
      </c>
      <c r="E239" s="2" t="s">
        <v>54</v>
      </c>
      <c r="F239" s="2" t="s">
        <v>55</v>
      </c>
      <c r="G239" s="2" t="s">
        <v>55</v>
      </c>
      <c r="H239" s="2" t="s">
        <v>55</v>
      </c>
      <c r="I239" s="1" t="s">
        <v>112</v>
      </c>
      <c r="J239" s="1" t="s">
        <v>112</v>
      </c>
      <c r="K239" s="1" t="s">
        <v>112</v>
      </c>
      <c r="L239" s="1" t="s">
        <v>112</v>
      </c>
      <c r="M239" s="1" t="s">
        <v>112</v>
      </c>
      <c r="N239" s="1" t="s">
        <v>112</v>
      </c>
      <c r="O239" s="1" t="s">
        <v>112</v>
      </c>
      <c r="P239" s="1" t="s">
        <v>112</v>
      </c>
      <c r="Q239" s="3" t="str">
        <f t="shared" si="1"/>
        <v/>
      </c>
      <c r="R239" s="3" t="str">
        <f t="shared" si="2"/>
        <v/>
      </c>
      <c r="S239" s="3" t="str">
        <f t="shared" si="3"/>
        <v/>
      </c>
      <c r="T239" s="3" t="str">
        <f t="shared" si="4"/>
        <v/>
      </c>
      <c r="U239" s="3">
        <f t="shared" si="12"/>
        <v>100</v>
      </c>
      <c r="V239" s="3">
        <f t="shared" si="6"/>
        <v>0</v>
      </c>
      <c r="W239" s="3">
        <f t="shared" si="7"/>
        <v>0</v>
      </c>
      <c r="X239" s="3" t="str">
        <f t="shared" si="8"/>
        <v/>
      </c>
      <c r="Y239" s="3" t="str">
        <f t="shared" si="9"/>
        <v/>
      </c>
      <c r="Z239" s="3" t="str">
        <f t="shared" si="10"/>
        <v/>
      </c>
      <c r="AA239" s="3">
        <f t="shared" si="11"/>
        <v>0</v>
      </c>
    </row>
    <row r="240">
      <c r="A240" s="1" t="s">
        <v>2200</v>
      </c>
      <c r="B240" s="2" t="s">
        <v>28</v>
      </c>
      <c r="C240" s="2" t="s">
        <v>2201</v>
      </c>
      <c r="D240" s="2" t="s">
        <v>2202</v>
      </c>
      <c r="E240" s="2" t="s">
        <v>2203</v>
      </c>
      <c r="F240" s="2" t="s">
        <v>55</v>
      </c>
      <c r="G240" s="2" t="s">
        <v>2204</v>
      </c>
      <c r="H240" s="2" t="s">
        <v>55</v>
      </c>
      <c r="I240" s="2" t="s">
        <v>2205</v>
      </c>
      <c r="J240" s="2" t="s">
        <v>55</v>
      </c>
      <c r="K240" s="2" t="s">
        <v>2206</v>
      </c>
      <c r="L240" s="2" t="s">
        <v>55</v>
      </c>
      <c r="M240" s="2" t="s">
        <v>2207</v>
      </c>
      <c r="N240" s="2" t="s">
        <v>55</v>
      </c>
      <c r="O240" s="2" t="s">
        <v>2208</v>
      </c>
      <c r="P240" s="2" t="s">
        <v>55</v>
      </c>
      <c r="Q240" s="3">
        <f t="shared" si="1"/>
        <v>5</v>
      </c>
      <c r="R240" s="3">
        <f t="shared" si="2"/>
        <v>0.281841732</v>
      </c>
      <c r="S240" s="3">
        <f t="shared" si="3"/>
        <v>0.612859164</v>
      </c>
      <c r="T240" s="3">
        <f t="shared" si="4"/>
        <v>0.10540193</v>
      </c>
      <c r="U240" s="3">
        <f t="shared" si="12"/>
        <v>97</v>
      </c>
      <c r="V240" s="3">
        <f t="shared" si="6"/>
        <v>91</v>
      </c>
      <c r="W240" s="3">
        <f t="shared" si="7"/>
        <v>99</v>
      </c>
      <c r="X240" s="3" t="str">
        <f t="shared" si="8"/>
        <v/>
      </c>
      <c r="Y240" s="3" t="str">
        <f t="shared" si="9"/>
        <v/>
      </c>
      <c r="Z240" s="3" t="str">
        <f t="shared" si="10"/>
        <v/>
      </c>
      <c r="AA240" s="3">
        <f t="shared" si="11"/>
        <v>0.507457234</v>
      </c>
    </row>
    <row r="241">
      <c r="A241" s="1" t="s">
        <v>2200</v>
      </c>
      <c r="B241" s="2" t="s">
        <v>43</v>
      </c>
      <c r="C241" s="2" t="s">
        <v>2209</v>
      </c>
      <c r="D241" s="2" t="s">
        <v>2210</v>
      </c>
      <c r="E241" s="2" t="s">
        <v>2211</v>
      </c>
      <c r="F241" s="2" t="s">
        <v>55</v>
      </c>
      <c r="G241" s="2" t="s">
        <v>2212</v>
      </c>
      <c r="H241" s="2" t="s">
        <v>55</v>
      </c>
      <c r="I241" s="2" t="s">
        <v>2213</v>
      </c>
      <c r="J241" s="2" t="s">
        <v>55</v>
      </c>
      <c r="K241" s="2" t="s">
        <v>2214</v>
      </c>
      <c r="L241" s="2" t="s">
        <v>55</v>
      </c>
      <c r="M241" s="2" t="s">
        <v>54</v>
      </c>
      <c r="N241" s="2" t="s">
        <v>55</v>
      </c>
      <c r="O241" s="2" t="s">
        <v>55</v>
      </c>
      <c r="P241" s="2" t="s">
        <v>55</v>
      </c>
      <c r="Q241" s="3" t="str">
        <f t="shared" si="1"/>
        <v/>
      </c>
      <c r="R241" s="3" t="str">
        <f t="shared" si="2"/>
        <v/>
      </c>
      <c r="S241" s="3" t="str">
        <f t="shared" si="3"/>
        <v/>
      </c>
      <c r="T241" s="3" t="str">
        <f t="shared" si="4"/>
        <v/>
      </c>
      <c r="U241" s="3">
        <f t="shared" si="12"/>
        <v>98</v>
      </c>
      <c r="V241" s="3">
        <f t="shared" si="6"/>
        <v>94</v>
      </c>
      <c r="W241" s="3">
        <f t="shared" si="7"/>
        <v>100</v>
      </c>
      <c r="X241" s="3" t="str">
        <f t="shared" si="8"/>
        <v/>
      </c>
      <c r="Y241" s="3" t="str">
        <f t="shared" si="9"/>
        <v/>
      </c>
      <c r="Z241" s="3" t="str">
        <f t="shared" si="10"/>
        <v/>
      </c>
      <c r="AA241" s="3">
        <f t="shared" si="11"/>
        <v>0</v>
      </c>
    </row>
    <row r="242">
      <c r="A242" s="1" t="s">
        <v>2215</v>
      </c>
      <c r="B242" s="2" t="s">
        <v>28</v>
      </c>
      <c r="C242" s="2" t="s">
        <v>2216</v>
      </c>
      <c r="D242" s="2" t="s">
        <v>2217</v>
      </c>
      <c r="E242" s="2" t="s">
        <v>2218</v>
      </c>
      <c r="F242" s="2" t="s">
        <v>55</v>
      </c>
      <c r="G242" s="2" t="s">
        <v>2219</v>
      </c>
      <c r="H242" s="2" t="s">
        <v>55</v>
      </c>
      <c r="I242" s="2" t="s">
        <v>2220</v>
      </c>
      <c r="J242" s="2" t="s">
        <v>55</v>
      </c>
      <c r="K242" s="2" t="s">
        <v>2221</v>
      </c>
      <c r="L242" s="2" t="s">
        <v>55</v>
      </c>
      <c r="M242" s="2" t="s">
        <v>54</v>
      </c>
      <c r="N242" s="2" t="s">
        <v>55</v>
      </c>
      <c r="O242" s="2" t="s">
        <v>55</v>
      </c>
      <c r="P242" s="2" t="s">
        <v>55</v>
      </c>
      <c r="Q242" s="3">
        <f t="shared" si="1"/>
        <v>5</v>
      </c>
      <c r="R242" s="3">
        <f t="shared" si="2"/>
        <v>-0.009047624</v>
      </c>
      <c r="S242" s="3">
        <f t="shared" si="3"/>
        <v>-0.128571428</v>
      </c>
      <c r="T242" s="3">
        <f t="shared" si="4"/>
        <v>0</v>
      </c>
      <c r="U242" s="3">
        <f t="shared" si="12"/>
        <v>100</v>
      </c>
      <c r="V242" s="3">
        <f t="shared" si="6"/>
        <v>99</v>
      </c>
      <c r="W242" s="3">
        <f t="shared" si="7"/>
        <v>100</v>
      </c>
      <c r="X242" s="3" t="str">
        <f t="shared" si="8"/>
        <v>full access</v>
      </c>
      <c r="Y242" s="3" t="str">
        <f t="shared" si="9"/>
        <v/>
      </c>
      <c r="Z242" s="3" t="str">
        <f t="shared" si="10"/>
        <v>full access</v>
      </c>
      <c r="AA242" s="3">
        <f t="shared" si="11"/>
        <v>-0.128571428</v>
      </c>
    </row>
    <row r="243">
      <c r="A243" s="1" t="s">
        <v>2215</v>
      </c>
      <c r="B243" s="2" t="s">
        <v>43</v>
      </c>
      <c r="C243" s="2" t="s">
        <v>2222</v>
      </c>
      <c r="D243" s="2" t="s">
        <v>2223</v>
      </c>
      <c r="E243" s="2" t="s">
        <v>2224</v>
      </c>
      <c r="F243" s="2" t="s">
        <v>55</v>
      </c>
      <c r="G243" s="2" t="s">
        <v>2225</v>
      </c>
      <c r="H243" s="2" t="s">
        <v>55</v>
      </c>
      <c r="I243" s="2" t="s">
        <v>2226</v>
      </c>
      <c r="J243" s="2" t="s">
        <v>55</v>
      </c>
      <c r="K243" s="2" t="s">
        <v>2227</v>
      </c>
      <c r="L243" s="2" t="s">
        <v>55</v>
      </c>
      <c r="M243" s="2" t="s">
        <v>54</v>
      </c>
      <c r="N243" s="2" t="s">
        <v>55</v>
      </c>
      <c r="O243" s="2" t="s">
        <v>55</v>
      </c>
      <c r="P243" s="2" t="s">
        <v>55</v>
      </c>
      <c r="Q243" s="3" t="str">
        <f t="shared" si="1"/>
        <v/>
      </c>
      <c r="R243" s="3" t="str">
        <f t="shared" si="2"/>
        <v/>
      </c>
      <c r="S243" s="3" t="str">
        <f t="shared" si="3"/>
        <v/>
      </c>
      <c r="T243" s="3" t="str">
        <f t="shared" si="4"/>
        <v/>
      </c>
      <c r="U243" s="3">
        <f t="shared" si="12"/>
        <v>100</v>
      </c>
      <c r="V243" s="3">
        <f t="shared" si="6"/>
        <v>99</v>
      </c>
      <c r="W243" s="3">
        <f t="shared" si="7"/>
        <v>100</v>
      </c>
      <c r="X243" s="3" t="str">
        <f t="shared" si="8"/>
        <v/>
      </c>
      <c r="Y243" s="3" t="str">
        <f t="shared" si="9"/>
        <v/>
      </c>
      <c r="Z243" s="3" t="str">
        <f t="shared" si="10"/>
        <v/>
      </c>
      <c r="AA243" s="3">
        <f t="shared" si="11"/>
        <v>0</v>
      </c>
    </row>
    <row r="244">
      <c r="A244" s="1" t="s">
        <v>2228</v>
      </c>
      <c r="B244" s="2" t="s">
        <v>28</v>
      </c>
      <c r="C244" s="2" t="s">
        <v>2229</v>
      </c>
      <c r="D244" s="2" t="s">
        <v>2230</v>
      </c>
      <c r="E244" s="2" t="s">
        <v>2231</v>
      </c>
      <c r="F244" s="2" t="s">
        <v>2232</v>
      </c>
      <c r="G244" s="2" t="s">
        <v>2233</v>
      </c>
      <c r="H244" s="2" t="s">
        <v>2234</v>
      </c>
      <c r="I244" s="2" t="s">
        <v>2235</v>
      </c>
      <c r="J244" s="2" t="s">
        <v>2236</v>
      </c>
      <c r="K244" s="2" t="s">
        <v>2237</v>
      </c>
      <c r="L244" s="2" t="s">
        <v>2238</v>
      </c>
      <c r="M244" s="2" t="s">
        <v>2239</v>
      </c>
      <c r="N244" s="2" t="s">
        <v>2240</v>
      </c>
      <c r="O244" s="2" t="s">
        <v>2241</v>
      </c>
      <c r="P244" s="2" t="s">
        <v>2242</v>
      </c>
      <c r="Q244" s="3">
        <f t="shared" si="1"/>
        <v>5</v>
      </c>
      <c r="R244" s="3">
        <f t="shared" si="2"/>
        <v>0.898822274</v>
      </c>
      <c r="S244" s="3">
        <f t="shared" si="3"/>
        <v>0.65236851</v>
      </c>
      <c r="T244" s="3">
        <f t="shared" si="4"/>
        <v>0.516035244</v>
      </c>
      <c r="U244" s="3">
        <f t="shared" si="12"/>
        <v>49</v>
      </c>
      <c r="V244" s="3">
        <f t="shared" si="6"/>
        <v>33</v>
      </c>
      <c r="W244" s="3">
        <f t="shared" si="7"/>
        <v>78</v>
      </c>
      <c r="X244" s="3" t="str">
        <f t="shared" si="8"/>
        <v/>
      </c>
      <c r="Y244" s="3" t="str">
        <f t="shared" si="9"/>
        <v/>
      </c>
      <c r="Z244" s="3" t="str">
        <f t="shared" si="10"/>
        <v/>
      </c>
      <c r="AA244" s="3">
        <f t="shared" si="11"/>
        <v>0.136333266</v>
      </c>
    </row>
    <row r="245">
      <c r="A245" s="1" t="s">
        <v>2228</v>
      </c>
      <c r="B245" s="2" t="s">
        <v>43</v>
      </c>
      <c r="C245" s="2" t="s">
        <v>2243</v>
      </c>
      <c r="D245" s="2" t="s">
        <v>2244</v>
      </c>
      <c r="E245" s="2" t="s">
        <v>2245</v>
      </c>
      <c r="F245" s="2" t="s">
        <v>2246</v>
      </c>
      <c r="G245" s="2" t="s">
        <v>2247</v>
      </c>
      <c r="H245" s="2" t="s">
        <v>2248</v>
      </c>
      <c r="I245" s="2" t="s">
        <v>2249</v>
      </c>
      <c r="J245" s="2" t="s">
        <v>2250</v>
      </c>
      <c r="K245" s="2" t="s">
        <v>2251</v>
      </c>
      <c r="L245" s="2" t="s">
        <v>2252</v>
      </c>
      <c r="M245" s="2" t="s">
        <v>2253</v>
      </c>
      <c r="N245" s="2" t="s">
        <v>2254</v>
      </c>
      <c r="O245" s="2" t="s">
        <v>2255</v>
      </c>
      <c r="P245" s="2" t="s">
        <v>2256</v>
      </c>
      <c r="Q245" s="3" t="str">
        <f t="shared" si="1"/>
        <v/>
      </c>
      <c r="R245" s="3" t="str">
        <f t="shared" si="2"/>
        <v/>
      </c>
      <c r="S245" s="3" t="str">
        <f t="shared" si="3"/>
        <v/>
      </c>
      <c r="T245" s="3" t="str">
        <f t="shared" si="4"/>
        <v/>
      </c>
      <c r="U245" s="3">
        <f t="shared" si="12"/>
        <v>53</v>
      </c>
      <c r="V245" s="3">
        <f t="shared" si="6"/>
        <v>36</v>
      </c>
      <c r="W245" s="3">
        <f t="shared" si="7"/>
        <v>80</v>
      </c>
      <c r="X245" s="3" t="str">
        <f t="shared" si="8"/>
        <v/>
      </c>
      <c r="Y245" s="3" t="str">
        <f t="shared" si="9"/>
        <v/>
      </c>
      <c r="Z245" s="3" t="str">
        <f t="shared" si="10"/>
        <v/>
      </c>
      <c r="AA245" s="3">
        <f t="shared" si="11"/>
        <v>0</v>
      </c>
    </row>
    <row r="246">
      <c r="A246" s="1" t="s">
        <v>2257</v>
      </c>
      <c r="B246" s="2" t="s">
        <v>28</v>
      </c>
      <c r="C246" s="2" t="s">
        <v>2258</v>
      </c>
      <c r="D246" s="2" t="s">
        <v>2259</v>
      </c>
      <c r="E246" s="2" t="s">
        <v>2260</v>
      </c>
      <c r="F246" s="2" t="s">
        <v>2261</v>
      </c>
      <c r="G246" s="2" t="s">
        <v>2262</v>
      </c>
      <c r="H246" s="2" t="s">
        <v>2263</v>
      </c>
      <c r="I246" s="2" t="s">
        <v>2264</v>
      </c>
      <c r="J246" s="2" t="s">
        <v>2265</v>
      </c>
      <c r="K246" s="2" t="s">
        <v>2266</v>
      </c>
      <c r="L246" s="2" t="s">
        <v>2267</v>
      </c>
      <c r="M246" s="2" t="s">
        <v>2268</v>
      </c>
      <c r="N246" s="2" t="s">
        <v>2269</v>
      </c>
      <c r="O246" s="2" t="s">
        <v>2270</v>
      </c>
      <c r="P246" s="2" t="s">
        <v>2271</v>
      </c>
      <c r="Q246" s="3">
        <f t="shared" si="1"/>
        <v>5</v>
      </c>
      <c r="R246" s="3">
        <f t="shared" si="2"/>
        <v>0.778553874</v>
      </c>
      <c r="S246" s="3">
        <f t="shared" si="3"/>
        <v>0.868887024</v>
      </c>
      <c r="T246" s="3">
        <f t="shared" si="4"/>
        <v>0.043763672</v>
      </c>
      <c r="U246" s="3">
        <f t="shared" si="12"/>
        <v>66</v>
      </c>
      <c r="V246" s="3">
        <f t="shared" si="6"/>
        <v>62</v>
      </c>
      <c r="W246" s="3">
        <f t="shared" si="7"/>
        <v>86</v>
      </c>
      <c r="X246" s="3" t="str">
        <f t="shared" si="8"/>
        <v/>
      </c>
      <c r="Y246" s="3" t="str">
        <f t="shared" si="9"/>
        <v/>
      </c>
      <c r="Z246" s="3" t="str">
        <f t="shared" si="10"/>
        <v/>
      </c>
      <c r="AA246" s="3">
        <f t="shared" si="11"/>
        <v>0.825123352</v>
      </c>
    </row>
    <row r="247">
      <c r="A247" s="1" t="s">
        <v>2257</v>
      </c>
      <c r="B247" s="2" t="s">
        <v>43</v>
      </c>
      <c r="C247" s="2" t="s">
        <v>2272</v>
      </c>
      <c r="D247" s="2" t="s">
        <v>2273</v>
      </c>
      <c r="E247" s="2" t="s">
        <v>2274</v>
      </c>
      <c r="F247" s="2" t="s">
        <v>2275</v>
      </c>
      <c r="G247" s="2" t="s">
        <v>2276</v>
      </c>
      <c r="H247" s="2" t="s">
        <v>2277</v>
      </c>
      <c r="I247" s="2" t="s">
        <v>2278</v>
      </c>
      <c r="J247" s="2" t="s">
        <v>2279</v>
      </c>
      <c r="K247" s="2" t="s">
        <v>2280</v>
      </c>
      <c r="L247" s="2" t="s">
        <v>2281</v>
      </c>
      <c r="M247" s="2" t="s">
        <v>2282</v>
      </c>
      <c r="N247" s="2" t="s">
        <v>2283</v>
      </c>
      <c r="O247" s="2" t="s">
        <v>2284</v>
      </c>
      <c r="P247" s="2" t="s">
        <v>2285</v>
      </c>
      <c r="Q247" s="3" t="str">
        <f t="shared" si="1"/>
        <v/>
      </c>
      <c r="R247" s="3" t="str">
        <f t="shared" si="2"/>
        <v/>
      </c>
      <c r="S247" s="3" t="str">
        <f t="shared" si="3"/>
        <v/>
      </c>
      <c r="T247" s="3" t="str">
        <f t="shared" si="4"/>
        <v/>
      </c>
      <c r="U247" s="3">
        <f t="shared" si="12"/>
        <v>70</v>
      </c>
      <c r="V247" s="3">
        <f t="shared" si="6"/>
        <v>67</v>
      </c>
      <c r="W247" s="3">
        <f t="shared" si="7"/>
        <v>86</v>
      </c>
      <c r="X247" s="3" t="str">
        <f t="shared" si="8"/>
        <v/>
      </c>
      <c r="Y247" s="3" t="str">
        <f t="shared" si="9"/>
        <v/>
      </c>
      <c r="Z247" s="3" t="str">
        <f t="shared" si="10"/>
        <v/>
      </c>
      <c r="AA247" s="3">
        <f t="shared" si="11"/>
        <v>0</v>
      </c>
    </row>
    <row r="248">
      <c r="A248" s="1" t="s">
        <v>2286</v>
      </c>
      <c r="B248" s="2" t="s">
        <v>28</v>
      </c>
      <c r="C248" s="2" t="s">
        <v>2287</v>
      </c>
      <c r="D248" s="2" t="s">
        <v>2288</v>
      </c>
      <c r="E248" s="2" t="s">
        <v>2289</v>
      </c>
      <c r="F248" s="2" t="s">
        <v>2290</v>
      </c>
      <c r="G248" s="2" t="s">
        <v>2291</v>
      </c>
      <c r="H248" s="1" t="s">
        <v>112</v>
      </c>
      <c r="I248" s="2" t="s">
        <v>2292</v>
      </c>
      <c r="J248" s="2" t="s">
        <v>2293</v>
      </c>
      <c r="K248" s="2" t="s">
        <v>2294</v>
      </c>
      <c r="L248" s="1" t="s">
        <v>112</v>
      </c>
      <c r="M248" s="2" t="s">
        <v>2295</v>
      </c>
      <c r="N248" s="2" t="s">
        <v>2296</v>
      </c>
      <c r="O248" s="2" t="s">
        <v>2297</v>
      </c>
      <c r="P248" s="2" t="s">
        <v>2298</v>
      </c>
      <c r="Q248" s="3">
        <f t="shared" si="1"/>
        <v>5</v>
      </c>
      <c r="R248" s="3">
        <f t="shared" si="2"/>
        <v>0.009540902</v>
      </c>
      <c r="S248" s="3">
        <f t="shared" si="3"/>
        <v>-0.14417222</v>
      </c>
      <c r="T248" s="3">
        <f t="shared" si="4"/>
        <v>-0.008094028</v>
      </c>
      <c r="U248" s="3">
        <f t="shared" si="12"/>
        <v>97</v>
      </c>
      <c r="V248" s="3">
        <f t="shared" si="6"/>
        <v>91</v>
      </c>
      <c r="W248" s="3">
        <f t="shared" si="7"/>
        <v>99</v>
      </c>
      <c r="X248" s="3" t="str">
        <f t="shared" si="8"/>
        <v/>
      </c>
      <c r="Y248" s="3" t="str">
        <f t="shared" si="9"/>
        <v/>
      </c>
      <c r="Z248" s="3" t="str">
        <f t="shared" si="10"/>
        <v/>
      </c>
      <c r="AA248" s="3">
        <f t="shared" si="11"/>
        <v>-0.136078192</v>
      </c>
    </row>
    <row r="249">
      <c r="A249" s="1" t="s">
        <v>2286</v>
      </c>
      <c r="B249" s="2" t="s">
        <v>43</v>
      </c>
      <c r="C249" s="2" t="s">
        <v>2299</v>
      </c>
      <c r="D249" s="2" t="s">
        <v>2300</v>
      </c>
      <c r="E249" s="2" t="s">
        <v>2301</v>
      </c>
      <c r="F249" s="2" t="s">
        <v>2302</v>
      </c>
      <c r="G249" s="2" t="s">
        <v>2303</v>
      </c>
      <c r="H249" s="1" t="s">
        <v>112</v>
      </c>
      <c r="I249" s="2" t="s">
        <v>2304</v>
      </c>
      <c r="J249" s="2" t="s">
        <v>2305</v>
      </c>
      <c r="K249" s="2" t="s">
        <v>2306</v>
      </c>
      <c r="L249" s="1" t="s">
        <v>112</v>
      </c>
      <c r="M249" s="2" t="s">
        <v>2307</v>
      </c>
      <c r="N249" s="2" t="s">
        <v>2308</v>
      </c>
      <c r="O249" s="2" t="s">
        <v>2309</v>
      </c>
      <c r="P249" s="2" t="s">
        <v>2298</v>
      </c>
      <c r="Q249" s="3" t="str">
        <f t="shared" si="1"/>
        <v/>
      </c>
      <c r="R249" s="3" t="str">
        <f t="shared" si="2"/>
        <v/>
      </c>
      <c r="S249" s="3" t="str">
        <f t="shared" si="3"/>
        <v/>
      </c>
      <c r="T249" s="3" t="str">
        <f t="shared" si="4"/>
        <v/>
      </c>
      <c r="U249" s="3">
        <f t="shared" si="12"/>
        <v>97</v>
      </c>
      <c r="V249" s="3">
        <f t="shared" si="6"/>
        <v>90</v>
      </c>
      <c r="W249" s="3">
        <f t="shared" si="7"/>
        <v>99</v>
      </c>
      <c r="X249" s="3" t="str">
        <f t="shared" si="8"/>
        <v/>
      </c>
      <c r="Y249" s="3" t="str">
        <f t="shared" si="9"/>
        <v/>
      </c>
      <c r="Z249" s="3" t="str">
        <f t="shared" si="10"/>
        <v/>
      </c>
      <c r="AA249" s="3">
        <f t="shared" si="11"/>
        <v>0</v>
      </c>
    </row>
    <row r="250">
      <c r="A250" s="1" t="s">
        <v>2310</v>
      </c>
      <c r="B250" s="2" t="s">
        <v>28</v>
      </c>
      <c r="C250" s="2" t="s">
        <v>2311</v>
      </c>
      <c r="D250" s="2" t="s">
        <v>2312</v>
      </c>
      <c r="E250" s="2" t="s">
        <v>2313</v>
      </c>
      <c r="F250" s="2" t="s">
        <v>2314</v>
      </c>
      <c r="G250" s="2" t="s">
        <v>2315</v>
      </c>
      <c r="H250" s="2" t="s">
        <v>55</v>
      </c>
      <c r="I250" s="2" t="s">
        <v>2316</v>
      </c>
      <c r="J250" s="2" t="s">
        <v>2317</v>
      </c>
      <c r="K250" s="2" t="s">
        <v>2318</v>
      </c>
      <c r="L250" s="2" t="s">
        <v>55</v>
      </c>
      <c r="M250" s="2" t="s">
        <v>2319</v>
      </c>
      <c r="N250" s="2" t="s">
        <v>2320</v>
      </c>
      <c r="O250" s="2" t="s">
        <v>2321</v>
      </c>
      <c r="P250" s="2" t="s">
        <v>55</v>
      </c>
      <c r="Q250" s="3">
        <f t="shared" si="1"/>
        <v>5</v>
      </c>
      <c r="R250" s="3">
        <f t="shared" si="2"/>
        <v>0.146038862</v>
      </c>
      <c r="S250" s="3">
        <f t="shared" si="3"/>
        <v>0.207862646</v>
      </c>
      <c r="T250" s="3">
        <f t="shared" si="4"/>
        <v>0.057636648</v>
      </c>
      <c r="U250" s="3">
        <f t="shared" si="12"/>
        <v>99</v>
      </c>
      <c r="V250" s="3">
        <f t="shared" si="6"/>
        <v>99</v>
      </c>
      <c r="W250" s="3">
        <f t="shared" si="7"/>
        <v>99</v>
      </c>
      <c r="X250" s="3" t="str">
        <f t="shared" si="8"/>
        <v/>
      </c>
      <c r="Y250" s="3" t="str">
        <f t="shared" si="9"/>
        <v/>
      </c>
      <c r="Z250" s="3" t="str">
        <f t="shared" si="10"/>
        <v/>
      </c>
      <c r="AA250" s="3">
        <f t="shared" si="11"/>
        <v>0.150225998</v>
      </c>
    </row>
    <row r="251">
      <c r="A251" s="1" t="s">
        <v>2310</v>
      </c>
      <c r="B251" s="2" t="s">
        <v>43</v>
      </c>
      <c r="C251" s="2" t="s">
        <v>2322</v>
      </c>
      <c r="D251" s="2" t="s">
        <v>2323</v>
      </c>
      <c r="E251" s="2" t="s">
        <v>2324</v>
      </c>
      <c r="F251" s="2" t="s">
        <v>2325</v>
      </c>
      <c r="G251" s="2" t="s">
        <v>2326</v>
      </c>
      <c r="H251" s="2" t="s">
        <v>55</v>
      </c>
      <c r="I251" s="2" t="s">
        <v>2327</v>
      </c>
      <c r="J251" s="2" t="s">
        <v>2328</v>
      </c>
      <c r="K251" s="2" t="s">
        <v>55</v>
      </c>
      <c r="L251" s="2" t="s">
        <v>55</v>
      </c>
      <c r="M251" s="2" t="s">
        <v>2329</v>
      </c>
      <c r="N251" s="2" t="s">
        <v>55</v>
      </c>
      <c r="O251" s="2" t="s">
        <v>2330</v>
      </c>
      <c r="P251" s="2" t="s">
        <v>55</v>
      </c>
      <c r="Q251" s="3" t="str">
        <f t="shared" si="1"/>
        <v/>
      </c>
      <c r="R251" s="3" t="str">
        <f t="shared" si="2"/>
        <v/>
      </c>
      <c r="S251" s="3" t="str">
        <f t="shared" si="3"/>
        <v/>
      </c>
      <c r="T251" s="3" t="str">
        <f t="shared" si="4"/>
        <v/>
      </c>
      <c r="U251" s="3">
        <f t="shared" si="12"/>
        <v>100</v>
      </c>
      <c r="V251" s="3">
        <f t="shared" si="6"/>
        <v>100</v>
      </c>
      <c r="W251" s="3">
        <f t="shared" si="7"/>
        <v>99</v>
      </c>
      <c r="X251" s="3" t="str">
        <f t="shared" si="8"/>
        <v/>
      </c>
      <c r="Y251" s="3" t="str">
        <f t="shared" si="9"/>
        <v/>
      </c>
      <c r="Z251" s="3" t="str">
        <f t="shared" si="10"/>
        <v/>
      </c>
      <c r="AA251" s="3">
        <f t="shared" si="11"/>
        <v>0</v>
      </c>
    </row>
    <row r="252">
      <c r="A252" s="1" t="s">
        <v>2331</v>
      </c>
      <c r="B252" s="2" t="s">
        <v>28</v>
      </c>
      <c r="C252" s="2" t="s">
        <v>2332</v>
      </c>
      <c r="D252" s="2" t="s">
        <v>2333</v>
      </c>
      <c r="E252" s="2" t="s">
        <v>2334</v>
      </c>
      <c r="F252" s="2" t="s">
        <v>2335</v>
      </c>
      <c r="G252" s="2" t="s">
        <v>2336</v>
      </c>
      <c r="H252" s="2" t="s">
        <v>2337</v>
      </c>
      <c r="I252" s="2" t="s">
        <v>2338</v>
      </c>
      <c r="J252" s="2" t="s">
        <v>2339</v>
      </c>
      <c r="K252" s="2" t="s">
        <v>2340</v>
      </c>
      <c r="L252" s="2" t="s">
        <v>2341</v>
      </c>
      <c r="M252" s="2" t="s">
        <v>2342</v>
      </c>
      <c r="N252" s="2" t="s">
        <v>2343</v>
      </c>
      <c r="O252" s="2" t="s">
        <v>2344</v>
      </c>
      <c r="P252" s="2" t="s">
        <v>2345</v>
      </c>
      <c r="Q252" s="3">
        <f t="shared" si="1"/>
        <v>5</v>
      </c>
      <c r="R252" s="3">
        <f t="shared" si="2"/>
        <v>1.629555762</v>
      </c>
      <c r="S252" s="3">
        <f t="shared" si="3"/>
        <v>1.737036236</v>
      </c>
      <c r="T252" s="3">
        <f t="shared" si="4"/>
        <v>1.001209844</v>
      </c>
      <c r="U252" s="3">
        <f t="shared" si="12"/>
        <v>74</v>
      </c>
      <c r="V252" s="3">
        <f t="shared" si="6"/>
        <v>63</v>
      </c>
      <c r="W252" s="3">
        <f t="shared" si="7"/>
        <v>91</v>
      </c>
      <c r="X252" s="3" t="str">
        <f t="shared" si="8"/>
        <v/>
      </c>
      <c r="Y252" s="3" t="str">
        <f t="shared" si="9"/>
        <v/>
      </c>
      <c r="Z252" s="3" t="str">
        <f t="shared" si="10"/>
        <v/>
      </c>
      <c r="AA252" s="3">
        <f t="shared" si="11"/>
        <v>0.735826392</v>
      </c>
    </row>
    <row r="253">
      <c r="A253" s="1" t="s">
        <v>2331</v>
      </c>
      <c r="B253" s="2" t="s">
        <v>43</v>
      </c>
      <c r="C253" s="2" t="s">
        <v>2346</v>
      </c>
      <c r="D253" s="2" t="s">
        <v>2347</v>
      </c>
      <c r="E253" s="2" t="s">
        <v>2348</v>
      </c>
      <c r="F253" s="2" t="s">
        <v>2349</v>
      </c>
      <c r="G253" s="2" t="s">
        <v>2350</v>
      </c>
      <c r="H253" s="2" t="s">
        <v>2351</v>
      </c>
      <c r="I253" s="2" t="s">
        <v>2352</v>
      </c>
      <c r="J253" s="2" t="s">
        <v>2353</v>
      </c>
      <c r="K253" s="2" t="s">
        <v>2354</v>
      </c>
      <c r="L253" s="2" t="s">
        <v>2355</v>
      </c>
      <c r="M253" s="2" t="s">
        <v>2356</v>
      </c>
      <c r="N253" s="2" t="s">
        <v>2357</v>
      </c>
      <c r="O253" s="2" t="s">
        <v>2358</v>
      </c>
      <c r="P253" s="2" t="s">
        <v>55</v>
      </c>
      <c r="Q253" s="3" t="str">
        <f t="shared" si="1"/>
        <v/>
      </c>
      <c r="R253" s="3" t="str">
        <f t="shared" si="2"/>
        <v/>
      </c>
      <c r="S253" s="3" t="str">
        <f t="shared" si="3"/>
        <v/>
      </c>
      <c r="T253" s="3" t="str">
        <f t="shared" si="4"/>
        <v/>
      </c>
      <c r="U253" s="3">
        <f t="shared" si="12"/>
        <v>83</v>
      </c>
      <c r="V253" s="3">
        <f t="shared" si="6"/>
        <v>72</v>
      </c>
      <c r="W253" s="3">
        <f t="shared" si="7"/>
        <v>96</v>
      </c>
      <c r="X253" s="3" t="str">
        <f t="shared" si="8"/>
        <v/>
      </c>
      <c r="Y253" s="3" t="str">
        <f t="shared" si="9"/>
        <v/>
      </c>
      <c r="Z253" s="3" t="str">
        <f t="shared" si="10"/>
        <v/>
      </c>
      <c r="AA253" s="3">
        <f t="shared" si="11"/>
        <v>0</v>
      </c>
    </row>
    <row r="254">
      <c r="A254" s="1" t="s">
        <v>2359</v>
      </c>
      <c r="B254" s="2" t="s">
        <v>28</v>
      </c>
      <c r="C254" s="2" t="s">
        <v>2360</v>
      </c>
      <c r="D254" s="2" t="s">
        <v>2361</v>
      </c>
      <c r="E254" s="2" t="s">
        <v>54</v>
      </c>
      <c r="F254" s="2" t="s">
        <v>55</v>
      </c>
      <c r="G254" s="2" t="s">
        <v>55</v>
      </c>
      <c r="H254" s="2" t="s">
        <v>55</v>
      </c>
      <c r="I254" s="2" t="s">
        <v>54</v>
      </c>
      <c r="J254" s="2" t="s">
        <v>55</v>
      </c>
      <c r="K254" s="2" t="s">
        <v>55</v>
      </c>
      <c r="L254" s="2" t="s">
        <v>55</v>
      </c>
      <c r="M254" s="2" t="s">
        <v>54</v>
      </c>
      <c r="N254" s="2" t="s">
        <v>55</v>
      </c>
      <c r="O254" s="2" t="s">
        <v>55</v>
      </c>
      <c r="P254" s="2" t="s">
        <v>55</v>
      </c>
      <c r="Q254" s="3">
        <f t="shared" si="1"/>
        <v>5</v>
      </c>
      <c r="R254" s="3">
        <f t="shared" si="2"/>
        <v>0.00000008000000093</v>
      </c>
      <c r="S254" s="3">
        <f t="shared" si="3"/>
        <v>0</v>
      </c>
      <c r="T254" s="3">
        <f t="shared" si="4"/>
        <v>0</v>
      </c>
      <c r="U254" s="3">
        <f t="shared" si="12"/>
        <v>100</v>
      </c>
      <c r="V254" s="3">
        <f t="shared" si="6"/>
        <v>100</v>
      </c>
      <c r="W254" s="3">
        <f t="shared" si="7"/>
        <v>100</v>
      </c>
      <c r="X254" s="3" t="str">
        <f t="shared" si="8"/>
        <v>full access</v>
      </c>
      <c r="Y254" s="3" t="str">
        <f t="shared" si="9"/>
        <v>full access</v>
      </c>
      <c r="Z254" s="3" t="str">
        <f t="shared" si="10"/>
        <v>full access</v>
      </c>
      <c r="AA254" s="3">
        <f t="shared" si="11"/>
        <v>0</v>
      </c>
    </row>
    <row r="255">
      <c r="A255" s="1" t="s">
        <v>2359</v>
      </c>
      <c r="B255" s="2" t="s">
        <v>43</v>
      </c>
      <c r="C255" s="2" t="s">
        <v>2362</v>
      </c>
      <c r="D255" s="2" t="s">
        <v>2363</v>
      </c>
      <c r="E255" s="2" t="s">
        <v>2364</v>
      </c>
      <c r="F255" s="2" t="s">
        <v>55</v>
      </c>
      <c r="G255" s="2" t="s">
        <v>55</v>
      </c>
      <c r="H255" s="2" t="s">
        <v>55</v>
      </c>
      <c r="I255" s="2" t="s">
        <v>54</v>
      </c>
      <c r="J255" s="2" t="s">
        <v>55</v>
      </c>
      <c r="K255" s="2" t="s">
        <v>55</v>
      </c>
      <c r="L255" s="2" t="s">
        <v>55</v>
      </c>
      <c r="M255" s="2" t="s">
        <v>54</v>
      </c>
      <c r="N255" s="2" t="s">
        <v>55</v>
      </c>
      <c r="O255" s="2" t="s">
        <v>55</v>
      </c>
      <c r="P255" s="2" t="s">
        <v>55</v>
      </c>
      <c r="Q255" s="3" t="str">
        <f t="shared" si="1"/>
        <v/>
      </c>
      <c r="R255" s="3" t="str">
        <f t="shared" si="2"/>
        <v/>
      </c>
      <c r="S255" s="3" t="str">
        <f t="shared" si="3"/>
        <v/>
      </c>
      <c r="T255" s="3" t="str">
        <f t="shared" si="4"/>
        <v/>
      </c>
      <c r="U255" s="3">
        <f t="shared" si="12"/>
        <v>100</v>
      </c>
      <c r="V255" s="3">
        <f t="shared" si="6"/>
        <v>100</v>
      </c>
      <c r="W255" s="3">
        <f t="shared" si="7"/>
        <v>100</v>
      </c>
      <c r="X255" s="3" t="str">
        <f t="shared" si="8"/>
        <v/>
      </c>
      <c r="Y255" s="3" t="str">
        <f t="shared" si="9"/>
        <v/>
      </c>
      <c r="Z255" s="3" t="str">
        <f t="shared" si="10"/>
        <v/>
      </c>
      <c r="AA255" s="3">
        <f t="shared" si="11"/>
        <v>0</v>
      </c>
    </row>
    <row r="256">
      <c r="A256" s="1" t="s">
        <v>2365</v>
      </c>
      <c r="B256" s="2" t="s">
        <v>28</v>
      </c>
      <c r="C256" s="2" t="s">
        <v>2366</v>
      </c>
      <c r="D256" s="2" t="s">
        <v>2367</v>
      </c>
      <c r="E256" s="2" t="s">
        <v>2368</v>
      </c>
      <c r="F256" s="2" t="s">
        <v>2369</v>
      </c>
      <c r="G256" s="2" t="s">
        <v>2370</v>
      </c>
      <c r="H256" s="2" t="s">
        <v>55</v>
      </c>
      <c r="I256" s="2" t="s">
        <v>2371</v>
      </c>
      <c r="J256" s="2" t="s">
        <v>2372</v>
      </c>
      <c r="K256" s="2" t="s">
        <v>2373</v>
      </c>
      <c r="L256" s="2" t="s">
        <v>55</v>
      </c>
      <c r="M256" s="2" t="s">
        <v>2374</v>
      </c>
      <c r="N256" s="2" t="s">
        <v>2375</v>
      </c>
      <c r="O256" s="2" t="s">
        <v>2376</v>
      </c>
      <c r="P256" s="2" t="s">
        <v>55</v>
      </c>
      <c r="Q256" s="3">
        <f t="shared" si="1"/>
        <v>5</v>
      </c>
      <c r="R256" s="3">
        <f t="shared" si="2"/>
        <v>0.045904672</v>
      </c>
      <c r="S256" s="3">
        <f t="shared" si="3"/>
        <v>0.030272</v>
      </c>
      <c r="T256" s="3">
        <f t="shared" si="4"/>
        <v>0.090284526</v>
      </c>
      <c r="U256" s="3">
        <f t="shared" si="12"/>
        <v>88</v>
      </c>
      <c r="V256" s="3">
        <f t="shared" si="6"/>
        <v>94</v>
      </c>
      <c r="W256" s="3">
        <f t="shared" si="7"/>
        <v>86</v>
      </c>
      <c r="X256" s="3" t="str">
        <f t="shared" si="8"/>
        <v/>
      </c>
      <c r="Y256" s="3" t="str">
        <f t="shared" si="9"/>
        <v/>
      </c>
      <c r="Z256" s="3" t="str">
        <f t="shared" si="10"/>
        <v/>
      </c>
      <c r="AA256" s="3">
        <f t="shared" si="11"/>
        <v>-0.060012526</v>
      </c>
    </row>
    <row r="257">
      <c r="A257" s="1" t="s">
        <v>2365</v>
      </c>
      <c r="B257" s="2" t="s">
        <v>43</v>
      </c>
      <c r="C257" s="2" t="s">
        <v>2377</v>
      </c>
      <c r="D257" s="2" t="s">
        <v>2378</v>
      </c>
      <c r="E257" s="2" t="s">
        <v>2379</v>
      </c>
      <c r="F257" s="2" t="s">
        <v>2380</v>
      </c>
      <c r="G257" s="2" t="s">
        <v>2381</v>
      </c>
      <c r="H257" s="2" t="s">
        <v>55</v>
      </c>
      <c r="I257" s="2" t="s">
        <v>2382</v>
      </c>
      <c r="J257" s="2" t="s">
        <v>2383</v>
      </c>
      <c r="K257" s="2" t="s">
        <v>2384</v>
      </c>
      <c r="L257" s="2" t="s">
        <v>55</v>
      </c>
      <c r="M257" s="2" t="s">
        <v>2385</v>
      </c>
      <c r="N257" s="2" t="s">
        <v>2386</v>
      </c>
      <c r="O257" s="2" t="s">
        <v>55</v>
      </c>
      <c r="P257" s="2" t="s">
        <v>55</v>
      </c>
      <c r="Q257" s="3" t="str">
        <f t="shared" si="1"/>
        <v/>
      </c>
      <c r="R257" s="3" t="str">
        <f t="shared" si="2"/>
        <v/>
      </c>
      <c r="S257" s="3" t="str">
        <f t="shared" si="3"/>
        <v/>
      </c>
      <c r="T257" s="3" t="str">
        <f t="shared" si="4"/>
        <v/>
      </c>
      <c r="U257" s="3">
        <f t="shared" si="12"/>
        <v>89</v>
      </c>
      <c r="V257" s="3">
        <f t="shared" si="6"/>
        <v>94</v>
      </c>
      <c r="W257" s="3">
        <f t="shared" si="7"/>
        <v>87</v>
      </c>
      <c r="X257" s="3" t="str">
        <f t="shared" si="8"/>
        <v/>
      </c>
      <c r="Y257" s="3" t="str">
        <f t="shared" si="9"/>
        <v/>
      </c>
      <c r="Z257" s="3" t="str">
        <f t="shared" si="10"/>
        <v/>
      </c>
      <c r="AA257" s="3">
        <f t="shared" si="11"/>
        <v>0</v>
      </c>
    </row>
    <row r="258">
      <c r="A258" s="1" t="s">
        <v>2387</v>
      </c>
      <c r="B258" s="2" t="s">
        <v>28</v>
      </c>
      <c r="C258" s="2" t="s">
        <v>2388</v>
      </c>
      <c r="D258" s="2" t="s">
        <v>2389</v>
      </c>
      <c r="E258" s="2" t="s">
        <v>2390</v>
      </c>
      <c r="F258" s="2" t="s">
        <v>55</v>
      </c>
      <c r="G258" s="2" t="s">
        <v>2391</v>
      </c>
      <c r="H258" s="2" t="s">
        <v>55</v>
      </c>
      <c r="I258" s="1" t="s">
        <v>112</v>
      </c>
      <c r="J258" s="1" t="s">
        <v>112</v>
      </c>
      <c r="K258" s="1" t="s">
        <v>112</v>
      </c>
      <c r="L258" s="1" t="s">
        <v>112</v>
      </c>
      <c r="M258" s="1" t="s">
        <v>112</v>
      </c>
      <c r="N258" s="1" t="s">
        <v>112</v>
      </c>
      <c r="O258" s="1" t="s">
        <v>112</v>
      </c>
      <c r="P258" s="1" t="s">
        <v>112</v>
      </c>
      <c r="Q258" s="3">
        <f t="shared" si="1"/>
        <v>5</v>
      </c>
      <c r="R258" s="3">
        <f t="shared" si="2"/>
        <v>0.009188156</v>
      </c>
      <c r="S258" s="3" t="str">
        <f t="shared" si="3"/>
        <v/>
      </c>
      <c r="T258" s="3" t="str">
        <f t="shared" si="4"/>
        <v/>
      </c>
      <c r="U258" s="3">
        <f t="shared" si="12"/>
        <v>100</v>
      </c>
      <c r="V258" s="3">
        <f t="shared" si="6"/>
        <v>0</v>
      </c>
      <c r="W258" s="3">
        <f t="shared" si="7"/>
        <v>0</v>
      </c>
      <c r="X258" s="3" t="str">
        <f t="shared" si="8"/>
        <v>full access</v>
      </c>
      <c r="Y258" s="3" t="str">
        <f t="shared" si="9"/>
        <v/>
      </c>
      <c r="Z258" s="3" t="str">
        <f t="shared" si="10"/>
        <v/>
      </c>
      <c r="AA258" s="3">
        <f t="shared" si="11"/>
        <v>0</v>
      </c>
    </row>
    <row r="259">
      <c r="A259" s="1" t="s">
        <v>2387</v>
      </c>
      <c r="B259" s="2" t="s">
        <v>43</v>
      </c>
      <c r="C259" s="2" t="s">
        <v>2392</v>
      </c>
      <c r="D259" s="2" t="s">
        <v>2393</v>
      </c>
      <c r="E259" s="2" t="s">
        <v>2394</v>
      </c>
      <c r="F259" s="2" t="s">
        <v>55</v>
      </c>
      <c r="G259" s="2" t="s">
        <v>2395</v>
      </c>
      <c r="H259" s="2" t="s">
        <v>55</v>
      </c>
      <c r="I259" s="1" t="s">
        <v>112</v>
      </c>
      <c r="J259" s="1" t="s">
        <v>112</v>
      </c>
      <c r="K259" s="1" t="s">
        <v>112</v>
      </c>
      <c r="L259" s="1" t="s">
        <v>112</v>
      </c>
      <c r="M259" s="1" t="s">
        <v>112</v>
      </c>
      <c r="N259" s="1" t="s">
        <v>112</v>
      </c>
      <c r="O259" s="1" t="s">
        <v>112</v>
      </c>
      <c r="P259" s="1" t="s">
        <v>112</v>
      </c>
      <c r="Q259" s="3" t="str">
        <f t="shared" si="1"/>
        <v/>
      </c>
      <c r="R259" s="3" t="str">
        <f t="shared" si="2"/>
        <v/>
      </c>
      <c r="S259" s="3" t="str">
        <f t="shared" si="3"/>
        <v/>
      </c>
      <c r="T259" s="3" t="str">
        <f t="shared" si="4"/>
        <v/>
      </c>
      <c r="U259" s="3">
        <f t="shared" si="12"/>
        <v>100</v>
      </c>
      <c r="V259" s="3">
        <f t="shared" si="6"/>
        <v>0</v>
      </c>
      <c r="W259" s="3">
        <f t="shared" si="7"/>
        <v>0</v>
      </c>
      <c r="X259" s="3" t="str">
        <f t="shared" si="8"/>
        <v/>
      </c>
      <c r="Y259" s="3" t="str">
        <f t="shared" si="9"/>
        <v/>
      </c>
      <c r="Z259" s="3" t="str">
        <f t="shared" si="10"/>
        <v/>
      </c>
      <c r="AA259" s="3">
        <f t="shared" si="11"/>
        <v>0</v>
      </c>
    </row>
    <row r="260">
      <c r="A260" s="1" t="s">
        <v>2396</v>
      </c>
      <c r="B260" s="2" t="s">
        <v>28</v>
      </c>
      <c r="C260" s="2" t="s">
        <v>2397</v>
      </c>
      <c r="D260" s="2" t="s">
        <v>2398</v>
      </c>
      <c r="E260" s="2" t="s">
        <v>2399</v>
      </c>
      <c r="F260" s="2" t="s">
        <v>2400</v>
      </c>
      <c r="G260" s="2" t="s">
        <v>2401</v>
      </c>
      <c r="H260" s="2" t="s">
        <v>2402</v>
      </c>
      <c r="I260" s="2" t="s">
        <v>2403</v>
      </c>
      <c r="J260" s="2" t="s">
        <v>2404</v>
      </c>
      <c r="K260" s="2" t="s">
        <v>2405</v>
      </c>
      <c r="L260" s="2" t="s">
        <v>2406</v>
      </c>
      <c r="M260" s="2" t="s">
        <v>2407</v>
      </c>
      <c r="N260" s="2" t="s">
        <v>2408</v>
      </c>
      <c r="O260" s="2" t="s">
        <v>2409</v>
      </c>
      <c r="P260" s="2" t="s">
        <v>55</v>
      </c>
      <c r="Q260" s="3">
        <f t="shared" si="1"/>
        <v>5</v>
      </c>
      <c r="R260" s="3">
        <f t="shared" si="2"/>
        <v>0.941547966</v>
      </c>
      <c r="S260" s="3">
        <f t="shared" si="3"/>
        <v>0.643699344</v>
      </c>
      <c r="T260" s="3">
        <f t="shared" si="4"/>
        <v>0.573901212</v>
      </c>
      <c r="U260" s="3">
        <f t="shared" si="12"/>
        <v>67</v>
      </c>
      <c r="V260" s="3">
        <f t="shared" si="6"/>
        <v>47</v>
      </c>
      <c r="W260" s="3">
        <f t="shared" si="7"/>
        <v>86</v>
      </c>
      <c r="X260" s="3" t="str">
        <f t="shared" si="8"/>
        <v/>
      </c>
      <c r="Y260" s="3" t="str">
        <f t="shared" si="9"/>
        <v/>
      </c>
      <c r="Z260" s="3" t="str">
        <f t="shared" si="10"/>
        <v/>
      </c>
      <c r="AA260" s="3">
        <f t="shared" si="11"/>
        <v>0.069798132</v>
      </c>
    </row>
    <row r="261">
      <c r="A261" s="1" t="s">
        <v>2396</v>
      </c>
      <c r="B261" s="2" t="s">
        <v>43</v>
      </c>
      <c r="C261" s="2" t="s">
        <v>2410</v>
      </c>
      <c r="D261" s="2" t="s">
        <v>2411</v>
      </c>
      <c r="E261" s="2" t="s">
        <v>2412</v>
      </c>
      <c r="F261" s="2" t="s">
        <v>2413</v>
      </c>
      <c r="G261" s="2" t="s">
        <v>2414</v>
      </c>
      <c r="H261" s="2" t="s">
        <v>2415</v>
      </c>
      <c r="I261" s="2" t="s">
        <v>2416</v>
      </c>
      <c r="J261" s="2" t="s">
        <v>2417</v>
      </c>
      <c r="K261" s="2" t="s">
        <v>2418</v>
      </c>
      <c r="L261" s="2" t="s">
        <v>2419</v>
      </c>
      <c r="M261" s="2" t="s">
        <v>2420</v>
      </c>
      <c r="N261" s="2" t="s">
        <v>2421</v>
      </c>
      <c r="O261" s="2" t="s">
        <v>2422</v>
      </c>
      <c r="P261" s="2" t="s">
        <v>55</v>
      </c>
      <c r="Q261" s="3" t="str">
        <f t="shared" si="1"/>
        <v/>
      </c>
      <c r="R261" s="3" t="str">
        <f t="shared" si="2"/>
        <v/>
      </c>
      <c r="S261" s="3" t="str">
        <f t="shared" si="3"/>
        <v/>
      </c>
      <c r="T261" s="3" t="str">
        <f t="shared" si="4"/>
        <v/>
      </c>
      <c r="U261" s="3">
        <f t="shared" si="12"/>
        <v>72</v>
      </c>
      <c r="V261" s="3">
        <f t="shared" si="6"/>
        <v>50</v>
      </c>
      <c r="W261" s="3">
        <f t="shared" si="7"/>
        <v>89</v>
      </c>
      <c r="X261" s="3" t="str">
        <f t="shared" si="8"/>
        <v/>
      </c>
      <c r="Y261" s="3" t="str">
        <f t="shared" si="9"/>
        <v/>
      </c>
      <c r="Z261" s="3" t="str">
        <f t="shared" si="10"/>
        <v/>
      </c>
      <c r="AA261" s="3">
        <f t="shared" si="11"/>
        <v>0</v>
      </c>
    </row>
    <row r="262">
      <c r="A262" s="1" t="s">
        <v>2423</v>
      </c>
      <c r="B262" s="2" t="s">
        <v>28</v>
      </c>
      <c r="C262" s="2" t="s">
        <v>2424</v>
      </c>
      <c r="D262" s="2" t="s">
        <v>2425</v>
      </c>
      <c r="E262" s="2" t="s">
        <v>2426</v>
      </c>
      <c r="F262" s="2" t="s">
        <v>55</v>
      </c>
      <c r="G262" s="2" t="s">
        <v>2427</v>
      </c>
      <c r="H262" s="2" t="s">
        <v>55</v>
      </c>
      <c r="I262" s="2" t="s">
        <v>2428</v>
      </c>
      <c r="J262" s="2" t="s">
        <v>55</v>
      </c>
      <c r="K262" s="2" t="s">
        <v>2429</v>
      </c>
      <c r="L262" s="2" t="s">
        <v>55</v>
      </c>
      <c r="M262" s="2" t="s">
        <v>2430</v>
      </c>
      <c r="N262" s="2" t="s">
        <v>55</v>
      </c>
      <c r="O262" s="2" t="s">
        <v>2431</v>
      </c>
      <c r="P262" s="2" t="s">
        <v>55</v>
      </c>
      <c r="Q262" s="3">
        <f t="shared" si="1"/>
        <v>5</v>
      </c>
      <c r="R262" s="3">
        <f t="shared" si="2"/>
        <v>-0.000045424</v>
      </c>
      <c r="S262" s="3">
        <f t="shared" si="3"/>
        <v>0</v>
      </c>
      <c r="T262" s="3">
        <f t="shared" si="4"/>
        <v>0</v>
      </c>
      <c r="U262" s="3">
        <f t="shared" si="12"/>
        <v>100</v>
      </c>
      <c r="V262" s="3">
        <f t="shared" si="6"/>
        <v>100</v>
      </c>
      <c r="W262" s="3">
        <f t="shared" si="7"/>
        <v>100</v>
      </c>
      <c r="X262" s="3" t="str">
        <f t="shared" si="8"/>
        <v>full access</v>
      </c>
      <c r="Y262" s="3" t="str">
        <f t="shared" si="9"/>
        <v>full access</v>
      </c>
      <c r="Z262" s="3" t="str">
        <f t="shared" si="10"/>
        <v>full access</v>
      </c>
      <c r="AA262" s="3">
        <f t="shared" si="11"/>
        <v>0</v>
      </c>
    </row>
    <row r="263">
      <c r="A263" s="1" t="s">
        <v>2423</v>
      </c>
      <c r="B263" s="2" t="s">
        <v>43</v>
      </c>
      <c r="C263" s="2" t="s">
        <v>2432</v>
      </c>
      <c r="D263" s="2" t="s">
        <v>2433</v>
      </c>
      <c r="E263" s="2" t="s">
        <v>2434</v>
      </c>
      <c r="F263" s="2" t="s">
        <v>55</v>
      </c>
      <c r="G263" s="2" t="s">
        <v>2435</v>
      </c>
      <c r="H263" s="2" t="s">
        <v>55</v>
      </c>
      <c r="I263" s="2" t="s">
        <v>2428</v>
      </c>
      <c r="J263" s="2" t="s">
        <v>55</v>
      </c>
      <c r="K263" s="2" t="s">
        <v>2429</v>
      </c>
      <c r="L263" s="2" t="s">
        <v>55</v>
      </c>
      <c r="M263" s="2" t="s">
        <v>2430</v>
      </c>
      <c r="N263" s="2" t="s">
        <v>55</v>
      </c>
      <c r="O263" s="2" t="s">
        <v>2431</v>
      </c>
      <c r="P263" s="2" t="s">
        <v>55</v>
      </c>
      <c r="Q263" s="3" t="str">
        <f t="shared" si="1"/>
        <v/>
      </c>
      <c r="R263" s="3" t="str">
        <f t="shared" si="2"/>
        <v/>
      </c>
      <c r="S263" s="3" t="str">
        <f t="shared" si="3"/>
        <v/>
      </c>
      <c r="T263" s="3" t="str">
        <f t="shared" si="4"/>
        <v/>
      </c>
      <c r="U263" s="3">
        <f t="shared" si="12"/>
        <v>100</v>
      </c>
      <c r="V263" s="3">
        <f t="shared" si="6"/>
        <v>100</v>
      </c>
      <c r="W263" s="3">
        <f t="shared" si="7"/>
        <v>100</v>
      </c>
      <c r="X263" s="3" t="str">
        <f t="shared" si="8"/>
        <v/>
      </c>
      <c r="Y263" s="3" t="str">
        <f t="shared" si="9"/>
        <v/>
      </c>
      <c r="Z263" s="3" t="str">
        <f t="shared" si="10"/>
        <v/>
      </c>
      <c r="AA263" s="3">
        <f t="shared" si="11"/>
        <v>0</v>
      </c>
    </row>
    <row r="264">
      <c r="A264" s="1" t="s">
        <v>2436</v>
      </c>
      <c r="B264" s="2" t="s">
        <v>28</v>
      </c>
      <c r="C264" s="2" t="s">
        <v>2437</v>
      </c>
      <c r="D264" s="2" t="s">
        <v>2438</v>
      </c>
      <c r="E264" s="2" t="s">
        <v>2439</v>
      </c>
      <c r="F264" s="2" t="s">
        <v>55</v>
      </c>
      <c r="G264" s="2" t="s">
        <v>2440</v>
      </c>
      <c r="H264" s="2" t="s">
        <v>2441</v>
      </c>
      <c r="I264" s="1" t="s">
        <v>112</v>
      </c>
      <c r="J264" s="1" t="s">
        <v>112</v>
      </c>
      <c r="K264" s="1" t="s">
        <v>112</v>
      </c>
      <c r="L264" s="1" t="s">
        <v>112</v>
      </c>
      <c r="M264" s="1" t="s">
        <v>112</v>
      </c>
      <c r="N264" s="1" t="s">
        <v>112</v>
      </c>
      <c r="O264" s="1" t="s">
        <v>112</v>
      </c>
      <c r="P264" s="1" t="s">
        <v>112</v>
      </c>
      <c r="Q264" s="3">
        <f t="shared" si="1"/>
        <v>5</v>
      </c>
      <c r="R264" s="3">
        <f t="shared" si="2"/>
        <v>-0.093326314</v>
      </c>
      <c r="S264" s="3" t="str">
        <f t="shared" si="3"/>
        <v/>
      </c>
      <c r="T264" s="3" t="str">
        <f t="shared" si="4"/>
        <v/>
      </c>
      <c r="U264" s="3">
        <f t="shared" si="12"/>
        <v>97</v>
      </c>
      <c r="V264" s="3">
        <f t="shared" si="6"/>
        <v>0</v>
      </c>
      <c r="W264" s="3">
        <f t="shared" si="7"/>
        <v>0</v>
      </c>
      <c r="X264" s="3" t="str">
        <f t="shared" si="8"/>
        <v/>
      </c>
      <c r="Y264" s="3" t="str">
        <f t="shared" si="9"/>
        <v/>
      </c>
      <c r="Z264" s="3" t="str">
        <f t="shared" si="10"/>
        <v/>
      </c>
      <c r="AA264" s="3">
        <f t="shared" si="11"/>
        <v>0</v>
      </c>
    </row>
    <row r="265">
      <c r="A265" s="1" t="s">
        <v>2436</v>
      </c>
      <c r="B265" s="2" t="s">
        <v>43</v>
      </c>
      <c r="C265" s="2" t="s">
        <v>2442</v>
      </c>
      <c r="D265" s="2" t="s">
        <v>2443</v>
      </c>
      <c r="E265" s="2" t="s">
        <v>2444</v>
      </c>
      <c r="F265" s="2" t="s">
        <v>55</v>
      </c>
      <c r="G265" s="2" t="s">
        <v>2445</v>
      </c>
      <c r="H265" s="1" t="s">
        <v>112</v>
      </c>
      <c r="I265" s="1" t="s">
        <v>112</v>
      </c>
      <c r="J265" s="1" t="s">
        <v>112</v>
      </c>
      <c r="K265" s="1" t="s">
        <v>112</v>
      </c>
      <c r="L265" s="1" t="s">
        <v>112</v>
      </c>
      <c r="M265" s="1" t="s">
        <v>112</v>
      </c>
      <c r="N265" s="1" t="s">
        <v>112</v>
      </c>
      <c r="O265" s="1" t="s">
        <v>112</v>
      </c>
      <c r="P265" s="1" t="s">
        <v>112</v>
      </c>
      <c r="Q265" s="3" t="str">
        <f t="shared" si="1"/>
        <v/>
      </c>
      <c r="R265" s="3" t="str">
        <f t="shared" si="2"/>
        <v/>
      </c>
      <c r="S265" s="3" t="str">
        <f t="shared" si="3"/>
        <v/>
      </c>
      <c r="T265" s="3" t="str">
        <f t="shared" si="4"/>
        <v/>
      </c>
      <c r="U265" s="3">
        <f t="shared" si="12"/>
        <v>96</v>
      </c>
      <c r="V265" s="3">
        <f t="shared" si="6"/>
        <v>0</v>
      </c>
      <c r="W265" s="3">
        <f t="shared" si="7"/>
        <v>0</v>
      </c>
      <c r="X265" s="3" t="str">
        <f t="shared" si="8"/>
        <v/>
      </c>
      <c r="Y265" s="3" t="str">
        <f t="shared" si="9"/>
        <v/>
      </c>
      <c r="Z265" s="3" t="str">
        <f t="shared" si="10"/>
        <v/>
      </c>
      <c r="AA265" s="3">
        <f t="shared" si="11"/>
        <v>0</v>
      </c>
    </row>
    <row r="266">
      <c r="A266" s="1" t="s">
        <v>2446</v>
      </c>
      <c r="B266" s="2" t="s">
        <v>28</v>
      </c>
      <c r="C266" s="2" t="s">
        <v>2447</v>
      </c>
      <c r="D266" s="2" t="s">
        <v>2448</v>
      </c>
      <c r="E266" s="2" t="s">
        <v>2449</v>
      </c>
      <c r="F266" s="2" t="s">
        <v>55</v>
      </c>
      <c r="G266" s="2" t="s">
        <v>2450</v>
      </c>
      <c r="H266" s="2" t="s">
        <v>2451</v>
      </c>
      <c r="I266" s="2" t="s">
        <v>2452</v>
      </c>
      <c r="J266" s="2" t="s">
        <v>55</v>
      </c>
      <c r="K266" s="2" t="s">
        <v>2453</v>
      </c>
      <c r="L266" s="2" t="s">
        <v>2454</v>
      </c>
      <c r="M266" s="2" t="s">
        <v>2455</v>
      </c>
      <c r="N266" s="2" t="s">
        <v>55</v>
      </c>
      <c r="O266" s="2" t="s">
        <v>2456</v>
      </c>
      <c r="P266" s="2" t="s">
        <v>2457</v>
      </c>
      <c r="Q266" s="3">
        <f t="shared" si="1"/>
        <v>5</v>
      </c>
      <c r="R266" s="3">
        <f t="shared" si="2"/>
        <v>0.330824948</v>
      </c>
      <c r="S266" s="3">
        <f t="shared" si="3"/>
        <v>1.01007498</v>
      </c>
      <c r="T266" s="3">
        <f t="shared" si="4"/>
        <v>0.14728942</v>
      </c>
      <c r="U266" s="3">
        <f t="shared" si="12"/>
        <v>98</v>
      </c>
      <c r="V266" s="3">
        <f t="shared" si="6"/>
        <v>93</v>
      </c>
      <c r="W266" s="3">
        <f t="shared" si="7"/>
        <v>99</v>
      </c>
      <c r="X266" s="3" t="str">
        <f t="shared" si="8"/>
        <v/>
      </c>
      <c r="Y266" s="3" t="str">
        <f t="shared" si="9"/>
        <v/>
      </c>
      <c r="Z266" s="3" t="str">
        <f t="shared" si="10"/>
        <v/>
      </c>
      <c r="AA266" s="3">
        <f t="shared" si="11"/>
        <v>0.86278556</v>
      </c>
    </row>
    <row r="267">
      <c r="A267" s="1" t="s">
        <v>2446</v>
      </c>
      <c r="B267" s="2" t="s">
        <v>43</v>
      </c>
      <c r="C267" s="2" t="s">
        <v>2458</v>
      </c>
      <c r="D267" s="2" t="s">
        <v>2459</v>
      </c>
      <c r="E267" s="2" t="s">
        <v>2460</v>
      </c>
      <c r="F267" s="2" t="s">
        <v>55</v>
      </c>
      <c r="G267" s="2" t="s">
        <v>2461</v>
      </c>
      <c r="H267" s="2" t="s">
        <v>55</v>
      </c>
      <c r="I267" s="2" t="s">
        <v>2462</v>
      </c>
      <c r="J267" s="2" t="s">
        <v>55</v>
      </c>
      <c r="K267" s="2" t="s">
        <v>2463</v>
      </c>
      <c r="L267" s="2" t="s">
        <v>55</v>
      </c>
      <c r="M267" s="2" t="s">
        <v>54</v>
      </c>
      <c r="N267" s="2" t="s">
        <v>55</v>
      </c>
      <c r="O267" s="2" t="s">
        <v>55</v>
      </c>
      <c r="P267" s="2" t="s">
        <v>55</v>
      </c>
      <c r="Q267" s="3" t="str">
        <f t="shared" si="1"/>
        <v/>
      </c>
      <c r="R267" s="3" t="str">
        <f t="shared" si="2"/>
        <v/>
      </c>
      <c r="S267" s="3" t="str">
        <f t="shared" si="3"/>
        <v/>
      </c>
      <c r="T267" s="3" t="str">
        <f t="shared" si="4"/>
        <v/>
      </c>
      <c r="U267" s="3">
        <f t="shared" si="12"/>
        <v>100</v>
      </c>
      <c r="V267" s="3">
        <f t="shared" si="6"/>
        <v>98</v>
      </c>
      <c r="W267" s="3">
        <f t="shared" si="7"/>
        <v>100</v>
      </c>
      <c r="X267" s="3" t="str">
        <f t="shared" si="8"/>
        <v/>
      </c>
      <c r="Y267" s="3" t="str">
        <f t="shared" si="9"/>
        <v/>
      </c>
      <c r="Z267" s="3" t="str">
        <f t="shared" si="10"/>
        <v/>
      </c>
      <c r="AA267" s="3">
        <f t="shared" si="11"/>
        <v>0</v>
      </c>
    </row>
    <row r="268">
      <c r="A268" s="1" t="s">
        <v>2464</v>
      </c>
      <c r="B268" s="2" t="s">
        <v>28</v>
      </c>
      <c r="C268" s="2" t="s">
        <v>2465</v>
      </c>
      <c r="D268" s="2" t="s">
        <v>2466</v>
      </c>
      <c r="E268" s="2" t="s">
        <v>2467</v>
      </c>
      <c r="F268" s="2" t="s">
        <v>55</v>
      </c>
      <c r="G268" s="2" t="s">
        <v>2468</v>
      </c>
      <c r="H268" s="1" t="s">
        <v>112</v>
      </c>
      <c r="I268" s="1" t="s">
        <v>112</v>
      </c>
      <c r="J268" s="1" t="s">
        <v>112</v>
      </c>
      <c r="K268" s="1" t="s">
        <v>112</v>
      </c>
      <c r="L268" s="1" t="s">
        <v>112</v>
      </c>
      <c r="M268" s="1" t="s">
        <v>112</v>
      </c>
      <c r="N268" s="1" t="s">
        <v>112</v>
      </c>
      <c r="O268" s="1" t="s">
        <v>112</v>
      </c>
      <c r="P268" s="1" t="s">
        <v>112</v>
      </c>
      <c r="Q268" s="3">
        <f t="shared" si="1"/>
        <v>4</v>
      </c>
      <c r="R268" s="3">
        <f t="shared" si="2"/>
        <v>0</v>
      </c>
      <c r="S268" s="3" t="str">
        <f t="shared" si="3"/>
        <v/>
      </c>
      <c r="T268" s="3" t="str">
        <f t="shared" si="4"/>
        <v/>
      </c>
      <c r="U268" s="3">
        <f t="shared" si="12"/>
        <v>88</v>
      </c>
      <c r="V268" s="3">
        <f t="shared" si="6"/>
        <v>0</v>
      </c>
      <c r="W268" s="3">
        <f t="shared" si="7"/>
        <v>0</v>
      </c>
      <c r="X268" s="3" t="str">
        <f t="shared" si="8"/>
        <v/>
      </c>
      <c r="Y268" s="3" t="str">
        <f t="shared" si="9"/>
        <v/>
      </c>
      <c r="Z268" s="3" t="str">
        <f t="shared" si="10"/>
        <v/>
      </c>
      <c r="AA268" s="3">
        <f t="shared" si="11"/>
        <v>0</v>
      </c>
    </row>
    <row r="269">
      <c r="A269" s="1" t="s">
        <v>2464</v>
      </c>
      <c r="B269" s="2" t="s">
        <v>251</v>
      </c>
      <c r="C269" s="2" t="s">
        <v>2469</v>
      </c>
      <c r="D269" s="2" t="s">
        <v>2470</v>
      </c>
      <c r="E269" s="2" t="s">
        <v>2467</v>
      </c>
      <c r="F269" s="2" t="s">
        <v>55</v>
      </c>
      <c r="G269" s="2" t="s">
        <v>2468</v>
      </c>
      <c r="H269" s="1" t="s">
        <v>112</v>
      </c>
      <c r="I269" s="1" t="s">
        <v>112</v>
      </c>
      <c r="J269" s="1" t="s">
        <v>112</v>
      </c>
      <c r="K269" s="1" t="s">
        <v>112</v>
      </c>
      <c r="L269" s="1" t="s">
        <v>112</v>
      </c>
      <c r="M269" s="1" t="s">
        <v>112</v>
      </c>
      <c r="N269" s="1" t="s">
        <v>112</v>
      </c>
      <c r="O269" s="1" t="s">
        <v>112</v>
      </c>
      <c r="P269" s="1" t="s">
        <v>112</v>
      </c>
      <c r="Q269" s="3" t="str">
        <f t="shared" si="1"/>
        <v/>
      </c>
      <c r="R269" s="3" t="str">
        <f t="shared" si="2"/>
        <v/>
      </c>
      <c r="S269" s="3" t="str">
        <f t="shared" si="3"/>
        <v/>
      </c>
      <c r="T269" s="3" t="str">
        <f t="shared" si="4"/>
        <v/>
      </c>
      <c r="U269" s="3">
        <f t="shared" si="12"/>
        <v>88</v>
      </c>
      <c r="V269" s="3">
        <f t="shared" si="6"/>
        <v>0</v>
      </c>
      <c r="W269" s="3">
        <f t="shared" si="7"/>
        <v>0</v>
      </c>
      <c r="X269" s="3" t="str">
        <f t="shared" si="8"/>
        <v/>
      </c>
      <c r="Y269" s="3" t="str">
        <f t="shared" si="9"/>
        <v/>
      </c>
      <c r="Z269" s="3" t="str">
        <f t="shared" si="10"/>
        <v/>
      </c>
      <c r="AA269" s="3">
        <f t="shared" si="11"/>
        <v>0</v>
      </c>
    </row>
    <row r="270">
      <c r="A270" s="1" t="s">
        <v>2471</v>
      </c>
      <c r="B270" s="2" t="s">
        <v>28</v>
      </c>
      <c r="C270" s="2" t="s">
        <v>2472</v>
      </c>
      <c r="D270" s="2" t="s">
        <v>54</v>
      </c>
      <c r="E270" s="2" t="s">
        <v>54</v>
      </c>
      <c r="F270" s="2" t="s">
        <v>55</v>
      </c>
      <c r="G270" s="2" t="s">
        <v>55</v>
      </c>
      <c r="H270" s="2" t="s">
        <v>55</v>
      </c>
      <c r="I270" s="1" t="s">
        <v>112</v>
      </c>
      <c r="J270" s="1" t="s">
        <v>112</v>
      </c>
      <c r="K270" s="1" t="s">
        <v>112</v>
      </c>
      <c r="L270" s="1" t="s">
        <v>112</v>
      </c>
      <c r="M270" s="2" t="s">
        <v>54</v>
      </c>
      <c r="N270" s="2" t="s">
        <v>55</v>
      </c>
      <c r="O270" s="2" t="s">
        <v>55</v>
      </c>
      <c r="P270" s="2" t="s">
        <v>55</v>
      </c>
      <c r="Q270" s="3">
        <f t="shared" si="1"/>
        <v>5</v>
      </c>
      <c r="R270" s="3">
        <f t="shared" si="2"/>
        <v>0</v>
      </c>
      <c r="S270" s="3" t="str">
        <f t="shared" si="3"/>
        <v/>
      </c>
      <c r="T270" s="3">
        <f t="shared" si="4"/>
        <v>0</v>
      </c>
      <c r="U270" s="3">
        <f t="shared" si="12"/>
        <v>100</v>
      </c>
      <c r="V270" s="3">
        <f t="shared" si="6"/>
        <v>0</v>
      </c>
      <c r="W270" s="3">
        <f t="shared" si="7"/>
        <v>100</v>
      </c>
      <c r="X270" s="3" t="str">
        <f t="shared" si="8"/>
        <v>full access</v>
      </c>
      <c r="Y270" s="3" t="str">
        <f t="shared" si="9"/>
        <v/>
      </c>
      <c r="Z270" s="3" t="str">
        <f t="shared" si="10"/>
        <v>full access</v>
      </c>
      <c r="AA270" s="3">
        <f t="shared" si="11"/>
        <v>0</v>
      </c>
    </row>
    <row r="271">
      <c r="A271" s="1" t="s">
        <v>2471</v>
      </c>
      <c r="B271" s="2" t="s">
        <v>43</v>
      </c>
      <c r="C271" s="2" t="s">
        <v>2473</v>
      </c>
      <c r="D271" s="2" t="s">
        <v>54</v>
      </c>
      <c r="E271" s="2" t="s">
        <v>54</v>
      </c>
      <c r="F271" s="2" t="s">
        <v>55</v>
      </c>
      <c r="G271" s="2" t="s">
        <v>55</v>
      </c>
      <c r="H271" s="2" t="s">
        <v>55</v>
      </c>
      <c r="I271" s="1" t="s">
        <v>112</v>
      </c>
      <c r="J271" s="1" t="s">
        <v>112</v>
      </c>
      <c r="K271" s="1" t="s">
        <v>112</v>
      </c>
      <c r="L271" s="1" t="s">
        <v>112</v>
      </c>
      <c r="M271" s="2" t="s">
        <v>54</v>
      </c>
      <c r="N271" s="2" t="s">
        <v>55</v>
      </c>
      <c r="O271" s="2" t="s">
        <v>55</v>
      </c>
      <c r="P271" s="2" t="s">
        <v>55</v>
      </c>
      <c r="Q271" s="3" t="str">
        <f t="shared" si="1"/>
        <v/>
      </c>
      <c r="R271" s="3" t="str">
        <f t="shared" si="2"/>
        <v/>
      </c>
      <c r="S271" s="3" t="str">
        <f t="shared" si="3"/>
        <v/>
      </c>
      <c r="T271" s="3" t="str">
        <f t="shared" si="4"/>
        <v/>
      </c>
      <c r="U271" s="3">
        <f t="shared" si="12"/>
        <v>100</v>
      </c>
      <c r="V271" s="3">
        <f t="shared" si="6"/>
        <v>0</v>
      </c>
      <c r="W271" s="3">
        <f t="shared" si="7"/>
        <v>100</v>
      </c>
      <c r="X271" s="3" t="str">
        <f t="shared" si="8"/>
        <v/>
      </c>
      <c r="Y271" s="3" t="str">
        <f t="shared" si="9"/>
        <v/>
      </c>
      <c r="Z271" s="3" t="str">
        <f t="shared" si="10"/>
        <v/>
      </c>
      <c r="AA271" s="3">
        <f t="shared" si="11"/>
        <v>0</v>
      </c>
    </row>
    <row r="272">
      <c r="A272" s="1" t="s">
        <v>2474</v>
      </c>
      <c r="B272" s="2" t="s">
        <v>28</v>
      </c>
      <c r="C272" s="2" t="s">
        <v>2475</v>
      </c>
      <c r="D272" s="2" t="s">
        <v>2476</v>
      </c>
      <c r="E272" s="2" t="s">
        <v>2477</v>
      </c>
      <c r="F272" s="2" t="s">
        <v>2478</v>
      </c>
      <c r="G272" s="2" t="s">
        <v>2479</v>
      </c>
      <c r="H272" s="2" t="s">
        <v>2480</v>
      </c>
      <c r="I272" s="2" t="s">
        <v>2481</v>
      </c>
      <c r="J272" s="2" t="s">
        <v>2482</v>
      </c>
      <c r="K272" s="2" t="s">
        <v>2483</v>
      </c>
      <c r="L272" s="2" t="s">
        <v>2484</v>
      </c>
      <c r="M272" s="2" t="s">
        <v>2485</v>
      </c>
      <c r="N272" s="2" t="s">
        <v>2486</v>
      </c>
      <c r="O272" s="2" t="s">
        <v>2487</v>
      </c>
      <c r="P272" s="2" t="s">
        <v>2488</v>
      </c>
      <c r="Q272" s="3">
        <f t="shared" si="1"/>
        <v>5</v>
      </c>
      <c r="R272" s="3">
        <f t="shared" si="2"/>
        <v>0.936522636</v>
      </c>
      <c r="S272" s="3">
        <f t="shared" si="3"/>
        <v>1.795372626</v>
      </c>
      <c r="T272" s="3">
        <f t="shared" si="4"/>
        <v>0.492087668</v>
      </c>
      <c r="U272" s="3">
        <f t="shared" si="12"/>
        <v>81</v>
      </c>
      <c r="V272" s="3">
        <f t="shared" si="6"/>
        <v>52</v>
      </c>
      <c r="W272" s="3">
        <f t="shared" si="7"/>
        <v>94</v>
      </c>
      <c r="X272" s="3" t="str">
        <f t="shared" si="8"/>
        <v/>
      </c>
      <c r="Y272" s="3" t="str">
        <f t="shared" si="9"/>
        <v/>
      </c>
      <c r="Z272" s="3" t="str">
        <f t="shared" si="10"/>
        <v/>
      </c>
      <c r="AA272" s="3">
        <f t="shared" si="11"/>
        <v>1.303284958</v>
      </c>
    </row>
    <row r="273">
      <c r="A273" s="1" t="s">
        <v>2474</v>
      </c>
      <c r="B273" s="2" t="s">
        <v>43</v>
      </c>
      <c r="C273" s="2" t="s">
        <v>2489</v>
      </c>
      <c r="D273" s="2" t="s">
        <v>2490</v>
      </c>
      <c r="E273" s="2" t="s">
        <v>2491</v>
      </c>
      <c r="F273" s="2" t="s">
        <v>2492</v>
      </c>
      <c r="G273" s="2" t="s">
        <v>2493</v>
      </c>
      <c r="H273" s="2" t="s">
        <v>2494</v>
      </c>
      <c r="I273" s="2" t="s">
        <v>2495</v>
      </c>
      <c r="J273" s="2" t="s">
        <v>2496</v>
      </c>
      <c r="K273" s="2" t="s">
        <v>2497</v>
      </c>
      <c r="L273" s="2" t="s">
        <v>2498</v>
      </c>
      <c r="M273" s="2" t="s">
        <v>2499</v>
      </c>
      <c r="N273" s="2" t="s">
        <v>2500</v>
      </c>
      <c r="O273" s="2" t="s">
        <v>2501</v>
      </c>
      <c r="P273" s="2" t="s">
        <v>55</v>
      </c>
      <c r="Q273" s="3" t="str">
        <f t="shared" si="1"/>
        <v/>
      </c>
      <c r="R273" s="3" t="str">
        <f t="shared" si="2"/>
        <v/>
      </c>
      <c r="S273" s="3" t="str">
        <f t="shared" si="3"/>
        <v/>
      </c>
      <c r="T273" s="3" t="str">
        <f t="shared" si="4"/>
        <v/>
      </c>
      <c r="U273" s="3">
        <f t="shared" si="12"/>
        <v>85</v>
      </c>
      <c r="V273" s="3">
        <f t="shared" si="6"/>
        <v>61</v>
      </c>
      <c r="W273" s="3">
        <f t="shared" si="7"/>
        <v>97</v>
      </c>
      <c r="X273" s="3" t="str">
        <f t="shared" si="8"/>
        <v/>
      </c>
      <c r="Y273" s="3" t="str">
        <f t="shared" si="9"/>
        <v/>
      </c>
      <c r="Z273" s="3" t="str">
        <f t="shared" si="10"/>
        <v/>
      </c>
      <c r="AA273" s="3">
        <f t="shared" si="11"/>
        <v>0</v>
      </c>
    </row>
    <row r="274">
      <c r="A274" s="1" t="s">
        <v>2502</v>
      </c>
      <c r="B274" s="2" t="s">
        <v>28</v>
      </c>
      <c r="C274" s="2" t="s">
        <v>2503</v>
      </c>
      <c r="D274" s="2" t="s">
        <v>2504</v>
      </c>
      <c r="E274" s="2" t="s">
        <v>2505</v>
      </c>
      <c r="F274" s="2" t="s">
        <v>2506</v>
      </c>
      <c r="G274" s="2" t="s">
        <v>2507</v>
      </c>
      <c r="H274" s="2" t="s">
        <v>2508</v>
      </c>
      <c r="I274" s="2" t="s">
        <v>2509</v>
      </c>
      <c r="J274" s="2" t="s">
        <v>2510</v>
      </c>
      <c r="K274" s="2" t="s">
        <v>2511</v>
      </c>
      <c r="L274" s="2" t="s">
        <v>2512</v>
      </c>
      <c r="M274" s="2" t="s">
        <v>2513</v>
      </c>
      <c r="N274" s="2" t="s">
        <v>2514</v>
      </c>
      <c r="O274" s="2" t="s">
        <v>2515</v>
      </c>
      <c r="P274" s="2" t="s">
        <v>55</v>
      </c>
      <c r="Q274" s="3">
        <f t="shared" si="1"/>
        <v>5</v>
      </c>
      <c r="R274" s="3">
        <f t="shared" si="2"/>
        <v>0.29312423</v>
      </c>
      <c r="S274" s="3">
        <f t="shared" si="3"/>
        <v>0.440245072</v>
      </c>
      <c r="T274" s="3">
        <f t="shared" si="4"/>
        <v>0.211412228</v>
      </c>
      <c r="U274" s="3">
        <f t="shared" si="12"/>
        <v>97</v>
      </c>
      <c r="V274" s="3">
        <f t="shared" si="6"/>
        <v>96</v>
      </c>
      <c r="W274" s="3">
        <f t="shared" si="7"/>
        <v>98</v>
      </c>
      <c r="X274" s="3" t="str">
        <f t="shared" si="8"/>
        <v/>
      </c>
      <c r="Y274" s="3" t="str">
        <f t="shared" si="9"/>
        <v/>
      </c>
      <c r="Z274" s="3" t="str">
        <f t="shared" si="10"/>
        <v/>
      </c>
      <c r="AA274" s="3">
        <f t="shared" si="11"/>
        <v>0.228832844</v>
      </c>
    </row>
    <row r="275">
      <c r="A275" s="1" t="s">
        <v>2502</v>
      </c>
      <c r="B275" s="2" t="s">
        <v>43</v>
      </c>
      <c r="C275" s="2" t="s">
        <v>2516</v>
      </c>
      <c r="D275" s="2" t="s">
        <v>2517</v>
      </c>
      <c r="E275" s="2" t="s">
        <v>2518</v>
      </c>
      <c r="F275" s="2" t="s">
        <v>2519</v>
      </c>
      <c r="G275" s="2" t="s">
        <v>2520</v>
      </c>
      <c r="H275" s="2" t="s">
        <v>2521</v>
      </c>
      <c r="I275" s="2" t="s">
        <v>2522</v>
      </c>
      <c r="J275" s="2" t="s">
        <v>55</v>
      </c>
      <c r="K275" s="2" t="s">
        <v>2523</v>
      </c>
      <c r="L275" s="2" t="s">
        <v>2524</v>
      </c>
      <c r="M275" s="2" t="s">
        <v>2525</v>
      </c>
      <c r="N275" s="2" t="s">
        <v>2526</v>
      </c>
      <c r="O275" s="2" t="s">
        <v>55</v>
      </c>
      <c r="P275" s="2" t="s">
        <v>55</v>
      </c>
      <c r="Q275" s="3" t="str">
        <f t="shared" si="1"/>
        <v/>
      </c>
      <c r="R275" s="3" t="str">
        <f t="shared" si="2"/>
        <v/>
      </c>
      <c r="S275" s="3" t="str">
        <f t="shared" si="3"/>
        <v/>
      </c>
      <c r="T275" s="3" t="str">
        <f t="shared" si="4"/>
        <v/>
      </c>
      <c r="U275" s="3">
        <f t="shared" si="12"/>
        <v>99</v>
      </c>
      <c r="V275" s="3">
        <f t="shared" si="6"/>
        <v>98</v>
      </c>
      <c r="W275" s="3">
        <f t="shared" si="7"/>
        <v>99</v>
      </c>
      <c r="X275" s="3" t="str">
        <f t="shared" si="8"/>
        <v/>
      </c>
      <c r="Y275" s="3" t="str">
        <f t="shared" si="9"/>
        <v/>
      </c>
      <c r="Z275" s="3" t="str">
        <f t="shared" si="10"/>
        <v/>
      </c>
      <c r="AA275" s="3">
        <f t="shared" si="11"/>
        <v>0</v>
      </c>
    </row>
    <row r="276">
      <c r="A276" s="1" t="s">
        <v>2527</v>
      </c>
      <c r="B276" s="2" t="s">
        <v>28</v>
      </c>
      <c r="C276" s="2" t="s">
        <v>2528</v>
      </c>
      <c r="D276" s="2" t="s">
        <v>2529</v>
      </c>
      <c r="E276" s="2" t="s">
        <v>2530</v>
      </c>
      <c r="F276" s="2" t="s">
        <v>55</v>
      </c>
      <c r="G276" s="2" t="s">
        <v>2531</v>
      </c>
      <c r="H276" s="2" t="s">
        <v>55</v>
      </c>
      <c r="I276" s="1" t="s">
        <v>112</v>
      </c>
      <c r="J276" s="1" t="s">
        <v>112</v>
      </c>
      <c r="K276" s="1" t="s">
        <v>112</v>
      </c>
      <c r="L276" s="1" t="s">
        <v>112</v>
      </c>
      <c r="M276" s="1" t="s">
        <v>112</v>
      </c>
      <c r="N276" s="1" t="s">
        <v>112</v>
      </c>
      <c r="O276" s="1" t="s">
        <v>112</v>
      </c>
      <c r="P276" s="1" t="s">
        <v>112</v>
      </c>
      <c r="Q276" s="3">
        <f t="shared" si="1"/>
        <v>5</v>
      </c>
      <c r="R276" s="3">
        <f t="shared" si="2"/>
        <v>0.001332412</v>
      </c>
      <c r="S276" s="3" t="str">
        <f t="shared" si="3"/>
        <v/>
      </c>
      <c r="T276" s="3" t="str">
        <f t="shared" si="4"/>
        <v/>
      </c>
      <c r="U276" s="3">
        <f t="shared" si="12"/>
        <v>98</v>
      </c>
      <c r="V276" s="3">
        <f t="shared" si="6"/>
        <v>0</v>
      </c>
      <c r="W276" s="3">
        <f t="shared" si="7"/>
        <v>0</v>
      </c>
      <c r="X276" s="3" t="str">
        <f t="shared" si="8"/>
        <v/>
      </c>
      <c r="Y276" s="3" t="str">
        <f t="shared" si="9"/>
        <v/>
      </c>
      <c r="Z276" s="3" t="str">
        <f t="shared" si="10"/>
        <v/>
      </c>
      <c r="AA276" s="3">
        <f t="shared" si="11"/>
        <v>0</v>
      </c>
    </row>
    <row r="277">
      <c r="A277" s="1" t="s">
        <v>2527</v>
      </c>
      <c r="B277" s="2" t="s">
        <v>43</v>
      </c>
      <c r="C277" s="2" t="s">
        <v>2532</v>
      </c>
      <c r="D277" s="2" t="s">
        <v>2533</v>
      </c>
      <c r="E277" s="2" t="s">
        <v>2534</v>
      </c>
      <c r="F277" s="2" t="s">
        <v>55</v>
      </c>
      <c r="G277" s="2" t="s">
        <v>2535</v>
      </c>
      <c r="H277" s="2" t="s">
        <v>55</v>
      </c>
      <c r="I277" s="1" t="s">
        <v>112</v>
      </c>
      <c r="J277" s="1" t="s">
        <v>112</v>
      </c>
      <c r="K277" s="1" t="s">
        <v>112</v>
      </c>
      <c r="L277" s="1" t="s">
        <v>112</v>
      </c>
      <c r="M277" s="1" t="s">
        <v>112</v>
      </c>
      <c r="N277" s="1" t="s">
        <v>112</v>
      </c>
      <c r="O277" s="1" t="s">
        <v>112</v>
      </c>
      <c r="P277" s="1" t="s">
        <v>112</v>
      </c>
      <c r="Q277" s="3" t="str">
        <f t="shared" si="1"/>
        <v/>
      </c>
      <c r="R277" s="3" t="str">
        <f t="shared" si="2"/>
        <v/>
      </c>
      <c r="S277" s="3" t="str">
        <f t="shared" si="3"/>
        <v/>
      </c>
      <c r="T277" s="3" t="str">
        <f t="shared" si="4"/>
        <v/>
      </c>
      <c r="U277" s="3">
        <f t="shared" si="12"/>
        <v>98</v>
      </c>
      <c r="V277" s="3">
        <f t="shared" si="6"/>
        <v>0</v>
      </c>
      <c r="W277" s="3">
        <f t="shared" si="7"/>
        <v>0</v>
      </c>
      <c r="X277" s="3" t="str">
        <f t="shared" si="8"/>
        <v/>
      </c>
      <c r="Y277" s="3" t="str">
        <f t="shared" si="9"/>
        <v/>
      </c>
      <c r="Z277" s="3" t="str">
        <f t="shared" si="10"/>
        <v/>
      </c>
      <c r="AA277" s="3">
        <f t="shared" si="11"/>
        <v>0</v>
      </c>
    </row>
    <row r="278">
      <c r="A278" s="1" t="s">
        <v>2536</v>
      </c>
      <c r="B278" s="2" t="s">
        <v>28</v>
      </c>
      <c r="C278" s="2" t="s">
        <v>2537</v>
      </c>
      <c r="D278" s="2" t="s">
        <v>2538</v>
      </c>
      <c r="E278" s="2" t="s">
        <v>2539</v>
      </c>
      <c r="F278" s="2" t="s">
        <v>2540</v>
      </c>
      <c r="G278" s="2" t="s">
        <v>2541</v>
      </c>
      <c r="H278" s="2" t="s">
        <v>2542</v>
      </c>
      <c r="I278" s="2" t="s">
        <v>2543</v>
      </c>
      <c r="J278" s="2" t="s">
        <v>2544</v>
      </c>
      <c r="K278" s="2" t="s">
        <v>2545</v>
      </c>
      <c r="L278" s="2" t="s">
        <v>2546</v>
      </c>
      <c r="M278" s="2" t="s">
        <v>2547</v>
      </c>
      <c r="N278" s="2" t="s">
        <v>2548</v>
      </c>
      <c r="O278" s="2" t="s">
        <v>2549</v>
      </c>
      <c r="P278" s="2" t="s">
        <v>2550</v>
      </c>
      <c r="Q278" s="3">
        <f t="shared" si="1"/>
        <v>5</v>
      </c>
      <c r="R278" s="3">
        <f t="shared" si="2"/>
        <v>1.33024236</v>
      </c>
      <c r="S278" s="3">
        <f t="shared" si="3"/>
        <v>2.634720044</v>
      </c>
      <c r="T278" s="3">
        <f t="shared" si="4"/>
        <v>0.305466198</v>
      </c>
      <c r="U278" s="3">
        <f t="shared" si="12"/>
        <v>84</v>
      </c>
      <c r="V278" s="3">
        <f t="shared" si="6"/>
        <v>64</v>
      </c>
      <c r="W278" s="3">
        <f t="shared" si="7"/>
        <v>96</v>
      </c>
      <c r="X278" s="3" t="str">
        <f t="shared" si="8"/>
        <v/>
      </c>
      <c r="Y278" s="3" t="str">
        <f t="shared" si="9"/>
        <v/>
      </c>
      <c r="Z278" s="3" t="str">
        <f t="shared" si="10"/>
        <v/>
      </c>
      <c r="AA278" s="3">
        <f t="shared" si="11"/>
        <v>2.329253846</v>
      </c>
    </row>
    <row r="279">
      <c r="A279" s="1" t="s">
        <v>2536</v>
      </c>
      <c r="B279" s="2" t="s">
        <v>43</v>
      </c>
      <c r="C279" s="2" t="s">
        <v>2551</v>
      </c>
      <c r="D279" s="2" t="s">
        <v>2552</v>
      </c>
      <c r="E279" s="2" t="s">
        <v>2553</v>
      </c>
      <c r="F279" s="2" t="s">
        <v>2554</v>
      </c>
      <c r="G279" s="2" t="s">
        <v>2555</v>
      </c>
      <c r="H279" s="2" t="s">
        <v>2556</v>
      </c>
      <c r="I279" s="2" t="s">
        <v>2557</v>
      </c>
      <c r="J279" s="2" t="s">
        <v>2558</v>
      </c>
      <c r="K279" s="2" t="s">
        <v>2559</v>
      </c>
      <c r="L279" s="2" t="s">
        <v>2560</v>
      </c>
      <c r="M279" s="2" t="s">
        <v>2561</v>
      </c>
      <c r="N279" s="2" t="s">
        <v>2562</v>
      </c>
      <c r="O279" s="2" t="s">
        <v>2563</v>
      </c>
      <c r="P279" s="2" t="s">
        <v>55</v>
      </c>
      <c r="Q279" s="3" t="str">
        <f t="shared" si="1"/>
        <v/>
      </c>
      <c r="R279" s="3" t="str">
        <f t="shared" si="2"/>
        <v/>
      </c>
      <c r="S279" s="3" t="str">
        <f t="shared" si="3"/>
        <v/>
      </c>
      <c r="T279" s="3" t="str">
        <f t="shared" si="4"/>
        <v/>
      </c>
      <c r="U279" s="3">
        <f t="shared" si="12"/>
        <v>90</v>
      </c>
      <c r="V279" s="3">
        <f t="shared" si="6"/>
        <v>77</v>
      </c>
      <c r="W279" s="3">
        <f t="shared" si="7"/>
        <v>98</v>
      </c>
      <c r="X279" s="3" t="str">
        <f t="shared" si="8"/>
        <v/>
      </c>
      <c r="Y279" s="3" t="str">
        <f t="shared" si="9"/>
        <v/>
      </c>
      <c r="Z279" s="3" t="str">
        <f t="shared" si="10"/>
        <v/>
      </c>
      <c r="AA279" s="3">
        <f t="shared" si="11"/>
        <v>0</v>
      </c>
    </row>
    <row r="280">
      <c r="A280" s="1" t="s">
        <v>2564</v>
      </c>
      <c r="B280" s="2" t="s">
        <v>28</v>
      </c>
      <c r="C280" s="2" t="s">
        <v>2565</v>
      </c>
      <c r="D280" s="2" t="s">
        <v>2566</v>
      </c>
      <c r="E280" s="2" t="s">
        <v>2567</v>
      </c>
      <c r="F280" s="2" t="s">
        <v>2568</v>
      </c>
      <c r="G280" s="2" t="s">
        <v>2569</v>
      </c>
      <c r="H280" s="2" t="s">
        <v>2570</v>
      </c>
      <c r="I280" s="2" t="s">
        <v>2571</v>
      </c>
      <c r="J280" s="2" t="s">
        <v>2572</v>
      </c>
      <c r="K280" s="2" t="s">
        <v>2573</v>
      </c>
      <c r="L280" s="2" t="s">
        <v>2574</v>
      </c>
      <c r="M280" s="2" t="s">
        <v>2575</v>
      </c>
      <c r="N280" s="2" t="s">
        <v>2576</v>
      </c>
      <c r="O280" s="2" t="s">
        <v>2577</v>
      </c>
      <c r="P280" s="2" t="s">
        <v>2578</v>
      </c>
      <c r="Q280" s="3">
        <f t="shared" si="1"/>
        <v>5</v>
      </c>
      <c r="R280" s="3">
        <f t="shared" si="2"/>
        <v>2.438650084</v>
      </c>
      <c r="S280" s="3">
        <f t="shared" si="3"/>
        <v>2.579061548</v>
      </c>
      <c r="T280" s="3">
        <f t="shared" si="4"/>
        <v>1.562736418</v>
      </c>
      <c r="U280" s="3">
        <f t="shared" si="12"/>
        <v>51</v>
      </c>
      <c r="V280" s="3">
        <f t="shared" si="6"/>
        <v>36</v>
      </c>
      <c r="W280" s="3">
        <f t="shared" si="7"/>
        <v>80</v>
      </c>
      <c r="X280" s="3" t="str">
        <f t="shared" si="8"/>
        <v/>
      </c>
      <c r="Y280" s="3" t="str">
        <f t="shared" si="9"/>
        <v/>
      </c>
      <c r="Z280" s="3" t="str">
        <f t="shared" si="10"/>
        <v/>
      </c>
      <c r="AA280" s="3">
        <f t="shared" si="11"/>
        <v>1.01632513</v>
      </c>
    </row>
    <row r="281">
      <c r="A281" s="1" t="s">
        <v>2564</v>
      </c>
      <c r="B281" s="2" t="s">
        <v>43</v>
      </c>
      <c r="C281" s="2" t="s">
        <v>2579</v>
      </c>
      <c r="D281" s="2" t="s">
        <v>2580</v>
      </c>
      <c r="E281" s="2" t="s">
        <v>2581</v>
      </c>
      <c r="F281" s="2" t="s">
        <v>2582</v>
      </c>
      <c r="G281" s="2" t="s">
        <v>2583</v>
      </c>
      <c r="H281" s="2" t="s">
        <v>2584</v>
      </c>
      <c r="I281" s="2" t="s">
        <v>2585</v>
      </c>
      <c r="J281" s="2" t="s">
        <v>2586</v>
      </c>
      <c r="K281" s="2" t="s">
        <v>2587</v>
      </c>
      <c r="L281" s="2" t="s">
        <v>2588</v>
      </c>
      <c r="M281" s="2" t="s">
        <v>2589</v>
      </c>
      <c r="N281" s="2" t="s">
        <v>2590</v>
      </c>
      <c r="O281" s="2" t="s">
        <v>2591</v>
      </c>
      <c r="P281" s="2" t="s">
        <v>2592</v>
      </c>
      <c r="Q281" s="3" t="str">
        <f t="shared" si="1"/>
        <v/>
      </c>
      <c r="R281" s="3" t="str">
        <f t="shared" si="2"/>
        <v/>
      </c>
      <c r="S281" s="3" t="str">
        <f t="shared" si="3"/>
        <v/>
      </c>
      <c r="T281" s="3" t="str">
        <f t="shared" si="4"/>
        <v/>
      </c>
      <c r="U281" s="3">
        <f t="shared" si="12"/>
        <v>63</v>
      </c>
      <c r="V281" s="3">
        <f t="shared" si="6"/>
        <v>49</v>
      </c>
      <c r="W281" s="3">
        <f t="shared" si="7"/>
        <v>88</v>
      </c>
      <c r="X281" s="3" t="str">
        <f t="shared" si="8"/>
        <v/>
      </c>
      <c r="Y281" s="3" t="str">
        <f t="shared" si="9"/>
        <v/>
      </c>
      <c r="Z281" s="3" t="str">
        <f t="shared" si="10"/>
        <v/>
      </c>
      <c r="AA281" s="3">
        <f t="shared" si="11"/>
        <v>0</v>
      </c>
    </row>
    <row r="282">
      <c r="A282" s="1" t="s">
        <v>2593</v>
      </c>
      <c r="B282" s="2" t="s">
        <v>28</v>
      </c>
      <c r="C282" s="2" t="s">
        <v>2594</v>
      </c>
      <c r="D282" s="2" t="s">
        <v>2595</v>
      </c>
      <c r="E282" s="2" t="s">
        <v>2596</v>
      </c>
      <c r="F282" s="2" t="s">
        <v>2597</v>
      </c>
      <c r="G282" s="2" t="s">
        <v>2598</v>
      </c>
      <c r="H282" s="2" t="s">
        <v>2599</v>
      </c>
      <c r="I282" s="2" t="s">
        <v>2600</v>
      </c>
      <c r="J282" s="2" t="s">
        <v>2601</v>
      </c>
      <c r="K282" s="2" t="s">
        <v>2602</v>
      </c>
      <c r="L282" s="2" t="s">
        <v>2603</v>
      </c>
      <c r="M282" s="2" t="s">
        <v>2604</v>
      </c>
      <c r="N282" s="2" t="s">
        <v>2605</v>
      </c>
      <c r="O282" s="2" t="s">
        <v>2606</v>
      </c>
      <c r="P282" s="2" t="s">
        <v>2607</v>
      </c>
      <c r="Q282" s="3">
        <f t="shared" si="1"/>
        <v>5</v>
      </c>
      <c r="R282" s="3">
        <f t="shared" si="2"/>
        <v>2.026144282</v>
      </c>
      <c r="S282" s="3">
        <f t="shared" si="3"/>
        <v>2.23459023</v>
      </c>
      <c r="T282" s="3">
        <f t="shared" si="4"/>
        <v>1.390321954</v>
      </c>
      <c r="U282" s="3">
        <f t="shared" si="12"/>
        <v>74</v>
      </c>
      <c r="V282" s="3">
        <f t="shared" si="6"/>
        <v>67</v>
      </c>
      <c r="W282" s="3">
        <f t="shared" si="7"/>
        <v>88</v>
      </c>
      <c r="X282" s="3" t="str">
        <f t="shared" si="8"/>
        <v/>
      </c>
      <c r="Y282" s="3" t="str">
        <f t="shared" si="9"/>
        <v/>
      </c>
      <c r="Z282" s="3" t="str">
        <f t="shared" si="10"/>
        <v/>
      </c>
      <c r="AA282" s="3">
        <f t="shared" si="11"/>
        <v>0.844268276</v>
      </c>
    </row>
    <row r="283">
      <c r="A283" s="1" t="s">
        <v>2593</v>
      </c>
      <c r="B283" s="2" t="s">
        <v>43</v>
      </c>
      <c r="C283" s="2" t="s">
        <v>2608</v>
      </c>
      <c r="D283" s="2" t="s">
        <v>2609</v>
      </c>
      <c r="E283" s="2" t="s">
        <v>2610</v>
      </c>
      <c r="F283" s="2" t="s">
        <v>2611</v>
      </c>
      <c r="G283" s="2" t="s">
        <v>2612</v>
      </c>
      <c r="H283" s="2" t="s">
        <v>2613</v>
      </c>
      <c r="I283" s="2" t="s">
        <v>2614</v>
      </c>
      <c r="J283" s="2" t="s">
        <v>2615</v>
      </c>
      <c r="K283" s="2" t="s">
        <v>2616</v>
      </c>
      <c r="L283" s="2" t="s">
        <v>2617</v>
      </c>
      <c r="M283" s="2" t="s">
        <v>2618</v>
      </c>
      <c r="N283" s="2" t="s">
        <v>55</v>
      </c>
      <c r="O283" s="2" t="s">
        <v>2619</v>
      </c>
      <c r="P283" s="2" t="s">
        <v>2620</v>
      </c>
      <c r="Q283" s="3" t="str">
        <f t="shared" si="1"/>
        <v/>
      </c>
      <c r="R283" s="3" t="str">
        <f t="shared" si="2"/>
        <v/>
      </c>
      <c r="S283" s="3" t="str">
        <f t="shared" si="3"/>
        <v/>
      </c>
      <c r="T283" s="3" t="str">
        <f t="shared" si="4"/>
        <v/>
      </c>
      <c r="U283" s="3">
        <f t="shared" si="12"/>
        <v>84</v>
      </c>
      <c r="V283" s="3">
        <f t="shared" si="6"/>
        <v>78</v>
      </c>
      <c r="W283" s="3">
        <f t="shared" si="7"/>
        <v>95</v>
      </c>
      <c r="X283" s="3" t="str">
        <f t="shared" si="8"/>
        <v/>
      </c>
      <c r="Y283" s="3" t="str">
        <f t="shared" si="9"/>
        <v/>
      </c>
      <c r="Z283" s="3" t="str">
        <f t="shared" si="10"/>
        <v/>
      </c>
      <c r="AA283" s="3">
        <f t="shared" si="11"/>
        <v>0</v>
      </c>
    </row>
    <row r="284">
      <c r="A284" s="1" t="s">
        <v>2621</v>
      </c>
      <c r="B284" s="2" t="s">
        <v>28</v>
      </c>
      <c r="C284" s="2" t="s">
        <v>2622</v>
      </c>
      <c r="D284" s="2" t="s">
        <v>2623</v>
      </c>
      <c r="E284" s="2" t="s">
        <v>2624</v>
      </c>
      <c r="F284" s="2" t="s">
        <v>2625</v>
      </c>
      <c r="G284" s="2" t="s">
        <v>2626</v>
      </c>
      <c r="H284" s="2" t="s">
        <v>2627</v>
      </c>
      <c r="I284" s="2" t="s">
        <v>2628</v>
      </c>
      <c r="J284" s="2" t="s">
        <v>2629</v>
      </c>
      <c r="K284" s="2" t="s">
        <v>2630</v>
      </c>
      <c r="L284" s="2" t="s">
        <v>2631</v>
      </c>
      <c r="M284" s="2" t="s">
        <v>2632</v>
      </c>
      <c r="N284" s="2" t="s">
        <v>2633</v>
      </c>
      <c r="O284" s="2" t="s">
        <v>2634</v>
      </c>
      <c r="P284" s="2" t="s">
        <v>2635</v>
      </c>
      <c r="Q284" s="3">
        <f t="shared" si="1"/>
        <v>5</v>
      </c>
      <c r="R284" s="3">
        <f t="shared" si="2"/>
        <v>0.349180226</v>
      </c>
      <c r="S284" s="3">
        <f t="shared" si="3"/>
        <v>0.22302721</v>
      </c>
      <c r="T284" s="3">
        <f t="shared" si="4"/>
        <v>-0.055454054</v>
      </c>
      <c r="U284" s="3">
        <f t="shared" si="12"/>
        <v>83</v>
      </c>
      <c r="V284" s="3">
        <f t="shared" si="6"/>
        <v>70</v>
      </c>
      <c r="W284" s="3">
        <f t="shared" si="7"/>
        <v>97</v>
      </c>
      <c r="X284" s="3" t="str">
        <f t="shared" si="8"/>
        <v/>
      </c>
      <c r="Y284" s="3" t="str">
        <f t="shared" si="9"/>
        <v/>
      </c>
      <c r="Z284" s="3" t="str">
        <f t="shared" si="10"/>
        <v/>
      </c>
      <c r="AA284" s="3">
        <f t="shared" si="11"/>
        <v>0.278481264</v>
      </c>
    </row>
    <row r="285">
      <c r="A285" s="1" t="s">
        <v>2621</v>
      </c>
      <c r="B285" s="2" t="s">
        <v>43</v>
      </c>
      <c r="C285" s="2" t="s">
        <v>2636</v>
      </c>
      <c r="D285" s="2" t="s">
        <v>2637</v>
      </c>
      <c r="E285" s="2" t="s">
        <v>2638</v>
      </c>
      <c r="F285" s="2" t="s">
        <v>2639</v>
      </c>
      <c r="G285" s="2" t="s">
        <v>2640</v>
      </c>
      <c r="H285" s="2" t="s">
        <v>2641</v>
      </c>
      <c r="I285" s="2" t="s">
        <v>2642</v>
      </c>
      <c r="J285" s="2" t="s">
        <v>2643</v>
      </c>
      <c r="K285" s="2" t="s">
        <v>2644</v>
      </c>
      <c r="L285" s="2" t="s">
        <v>2645</v>
      </c>
      <c r="M285" s="2" t="s">
        <v>2646</v>
      </c>
      <c r="N285" s="2" t="s">
        <v>2647</v>
      </c>
      <c r="O285" s="2" t="s">
        <v>2648</v>
      </c>
      <c r="P285" s="2" t="s">
        <v>2649</v>
      </c>
      <c r="Q285" s="3" t="str">
        <f t="shared" si="1"/>
        <v/>
      </c>
      <c r="R285" s="3" t="str">
        <f t="shared" si="2"/>
        <v/>
      </c>
      <c r="S285" s="3" t="str">
        <f t="shared" si="3"/>
        <v/>
      </c>
      <c r="T285" s="3" t="str">
        <f t="shared" si="4"/>
        <v/>
      </c>
      <c r="U285" s="3">
        <f t="shared" si="12"/>
        <v>84</v>
      </c>
      <c r="V285" s="3">
        <f t="shared" si="6"/>
        <v>71</v>
      </c>
      <c r="W285" s="3">
        <f t="shared" si="7"/>
        <v>96</v>
      </c>
      <c r="X285" s="3" t="str">
        <f t="shared" si="8"/>
        <v/>
      </c>
      <c r="Y285" s="3" t="str">
        <f t="shared" si="9"/>
        <v/>
      </c>
      <c r="Z285" s="3" t="str">
        <f t="shared" si="10"/>
        <v/>
      </c>
      <c r="AA285" s="3">
        <f t="shared" si="11"/>
        <v>0</v>
      </c>
    </row>
    <row r="286">
      <c r="A286" s="1" t="s">
        <v>2650</v>
      </c>
      <c r="B286" s="2" t="s">
        <v>28</v>
      </c>
      <c r="C286" s="2" t="s">
        <v>2651</v>
      </c>
      <c r="D286" s="2" t="s">
        <v>54</v>
      </c>
      <c r="E286" s="2" t="s">
        <v>54</v>
      </c>
      <c r="F286" s="2" t="s">
        <v>55</v>
      </c>
      <c r="G286" s="2" t="s">
        <v>55</v>
      </c>
      <c r="H286" s="2" t="s">
        <v>55</v>
      </c>
      <c r="I286" s="1" t="s">
        <v>112</v>
      </c>
      <c r="J286" s="1" t="s">
        <v>112</v>
      </c>
      <c r="K286" s="1" t="s">
        <v>112</v>
      </c>
      <c r="L286" s="1" t="s">
        <v>112</v>
      </c>
      <c r="M286" s="2" t="s">
        <v>54</v>
      </c>
      <c r="N286" s="2" t="s">
        <v>55</v>
      </c>
      <c r="O286" s="2" t="s">
        <v>55</v>
      </c>
      <c r="P286" s="2" t="s">
        <v>55</v>
      </c>
      <c r="Q286" s="3">
        <f t="shared" si="1"/>
        <v>5</v>
      </c>
      <c r="R286" s="3">
        <f t="shared" si="2"/>
        <v>0</v>
      </c>
      <c r="S286" s="3" t="str">
        <f t="shared" si="3"/>
        <v/>
      </c>
      <c r="T286" s="3">
        <f t="shared" si="4"/>
        <v>0</v>
      </c>
      <c r="U286" s="3">
        <f t="shared" si="12"/>
        <v>100</v>
      </c>
      <c r="V286" s="3">
        <f t="shared" si="6"/>
        <v>0</v>
      </c>
      <c r="W286" s="3">
        <f t="shared" si="7"/>
        <v>100</v>
      </c>
      <c r="X286" s="3" t="str">
        <f t="shared" si="8"/>
        <v>full access</v>
      </c>
      <c r="Y286" s="3" t="str">
        <f t="shared" si="9"/>
        <v/>
      </c>
      <c r="Z286" s="3" t="str">
        <f t="shared" si="10"/>
        <v>full access</v>
      </c>
      <c r="AA286" s="3">
        <f t="shared" si="11"/>
        <v>0</v>
      </c>
    </row>
    <row r="287">
      <c r="A287" s="1" t="s">
        <v>2650</v>
      </c>
      <c r="B287" s="2" t="s">
        <v>43</v>
      </c>
      <c r="C287" s="2" t="s">
        <v>2652</v>
      </c>
      <c r="D287" s="2" t="s">
        <v>54</v>
      </c>
      <c r="E287" s="2" t="s">
        <v>54</v>
      </c>
      <c r="F287" s="2" t="s">
        <v>55</v>
      </c>
      <c r="G287" s="2" t="s">
        <v>55</v>
      </c>
      <c r="H287" s="2" t="s">
        <v>55</v>
      </c>
      <c r="I287" s="1" t="s">
        <v>112</v>
      </c>
      <c r="J287" s="1" t="s">
        <v>112</v>
      </c>
      <c r="K287" s="1" t="s">
        <v>112</v>
      </c>
      <c r="L287" s="1" t="s">
        <v>112</v>
      </c>
      <c r="M287" s="2" t="s">
        <v>54</v>
      </c>
      <c r="N287" s="2" t="s">
        <v>55</v>
      </c>
      <c r="O287" s="2" t="s">
        <v>55</v>
      </c>
      <c r="P287" s="2" t="s">
        <v>55</v>
      </c>
      <c r="Q287" s="3" t="str">
        <f t="shared" si="1"/>
        <v/>
      </c>
      <c r="R287" s="3" t="str">
        <f t="shared" si="2"/>
        <v/>
      </c>
      <c r="S287" s="3" t="str">
        <f t="shared" si="3"/>
        <v/>
      </c>
      <c r="T287" s="3" t="str">
        <f t="shared" si="4"/>
        <v/>
      </c>
      <c r="U287" s="3">
        <f t="shared" si="12"/>
        <v>100</v>
      </c>
      <c r="V287" s="3">
        <f t="shared" si="6"/>
        <v>0</v>
      </c>
      <c r="W287" s="3">
        <f t="shared" si="7"/>
        <v>100</v>
      </c>
      <c r="X287" s="3" t="str">
        <f t="shared" si="8"/>
        <v/>
      </c>
      <c r="Y287" s="3" t="str">
        <f t="shared" si="9"/>
        <v/>
      </c>
      <c r="Z287" s="3" t="str">
        <f t="shared" si="10"/>
        <v/>
      </c>
      <c r="AA287" s="3">
        <f t="shared" si="11"/>
        <v>0</v>
      </c>
    </row>
    <row r="288">
      <c r="A288" s="1" t="s">
        <v>2653</v>
      </c>
      <c r="B288" s="2" t="s">
        <v>28</v>
      </c>
      <c r="C288" s="2" t="s">
        <v>2654</v>
      </c>
      <c r="D288" s="2" t="s">
        <v>2655</v>
      </c>
      <c r="E288" s="2" t="s">
        <v>2656</v>
      </c>
      <c r="F288" s="2" t="s">
        <v>2657</v>
      </c>
      <c r="G288" s="2" t="s">
        <v>2658</v>
      </c>
      <c r="H288" s="2" t="s">
        <v>2659</v>
      </c>
      <c r="I288" s="2" t="s">
        <v>2660</v>
      </c>
      <c r="J288" s="2" t="s">
        <v>2661</v>
      </c>
      <c r="K288" s="2" t="s">
        <v>2662</v>
      </c>
      <c r="L288" s="2" t="s">
        <v>2663</v>
      </c>
      <c r="M288" s="2" t="s">
        <v>2664</v>
      </c>
      <c r="N288" s="2" t="s">
        <v>2665</v>
      </c>
      <c r="O288" s="2" t="s">
        <v>2666</v>
      </c>
      <c r="P288" s="2" t="s">
        <v>2667</v>
      </c>
      <c r="Q288" s="3">
        <f t="shared" si="1"/>
        <v>5</v>
      </c>
      <c r="R288" s="3">
        <f t="shared" si="2"/>
        <v>0.45321484</v>
      </c>
      <c r="S288" s="3">
        <f t="shared" si="3"/>
        <v>0.592258402</v>
      </c>
      <c r="T288" s="3">
        <f t="shared" si="4"/>
        <v>-0.143407588</v>
      </c>
      <c r="U288" s="3">
        <f t="shared" si="12"/>
        <v>88</v>
      </c>
      <c r="V288" s="3">
        <f t="shared" si="6"/>
        <v>87</v>
      </c>
      <c r="W288" s="3">
        <f t="shared" si="7"/>
        <v>90</v>
      </c>
      <c r="X288" s="3" t="str">
        <f t="shared" si="8"/>
        <v/>
      </c>
      <c r="Y288" s="3" t="str">
        <f t="shared" si="9"/>
        <v/>
      </c>
      <c r="Z288" s="3" t="str">
        <f t="shared" si="10"/>
        <v/>
      </c>
      <c r="AA288" s="3">
        <f t="shared" si="11"/>
        <v>0.73566599</v>
      </c>
    </row>
    <row r="289">
      <c r="A289" s="1" t="s">
        <v>2653</v>
      </c>
      <c r="B289" s="2" t="s">
        <v>43</v>
      </c>
      <c r="C289" s="2" t="s">
        <v>2668</v>
      </c>
      <c r="D289" s="2" t="s">
        <v>2669</v>
      </c>
      <c r="E289" s="2" t="s">
        <v>2670</v>
      </c>
      <c r="F289" s="2" t="s">
        <v>2671</v>
      </c>
      <c r="G289" s="2" t="s">
        <v>2672</v>
      </c>
      <c r="H289" s="2" t="s">
        <v>2673</v>
      </c>
      <c r="I289" s="2" t="s">
        <v>2674</v>
      </c>
      <c r="J289" s="2" t="s">
        <v>2675</v>
      </c>
      <c r="K289" s="2" t="s">
        <v>2676</v>
      </c>
      <c r="L289" s="2" t="s">
        <v>2677</v>
      </c>
      <c r="M289" s="2" t="s">
        <v>2678</v>
      </c>
      <c r="N289" s="2" t="s">
        <v>2679</v>
      </c>
      <c r="O289" s="2" t="s">
        <v>2680</v>
      </c>
      <c r="P289" s="2" t="s">
        <v>2681</v>
      </c>
      <c r="Q289" s="3" t="str">
        <f t="shared" si="1"/>
        <v/>
      </c>
      <c r="R289" s="3" t="str">
        <f t="shared" si="2"/>
        <v/>
      </c>
      <c r="S289" s="3" t="str">
        <f t="shared" si="3"/>
        <v/>
      </c>
      <c r="T289" s="3" t="str">
        <f t="shared" si="4"/>
        <v/>
      </c>
      <c r="U289" s="3">
        <f t="shared" si="12"/>
        <v>90</v>
      </c>
      <c r="V289" s="3">
        <f t="shared" si="6"/>
        <v>90</v>
      </c>
      <c r="W289" s="3">
        <f t="shared" si="7"/>
        <v>90</v>
      </c>
      <c r="X289" s="3" t="str">
        <f t="shared" si="8"/>
        <v/>
      </c>
      <c r="Y289" s="3" t="str">
        <f t="shared" si="9"/>
        <v/>
      </c>
      <c r="Z289" s="3" t="str">
        <f t="shared" si="10"/>
        <v/>
      </c>
      <c r="AA289" s="3">
        <f t="shared" si="11"/>
        <v>0</v>
      </c>
    </row>
    <row r="290">
      <c r="A290" s="1" t="s">
        <v>2682</v>
      </c>
      <c r="B290" s="2" t="s">
        <v>28</v>
      </c>
      <c r="C290" s="2" t="s">
        <v>2683</v>
      </c>
      <c r="D290" s="2" t="s">
        <v>2684</v>
      </c>
      <c r="E290" s="2" t="s">
        <v>2685</v>
      </c>
      <c r="F290" s="2" t="s">
        <v>55</v>
      </c>
      <c r="G290" s="2" t="s">
        <v>2686</v>
      </c>
      <c r="H290" s="2" t="s">
        <v>55</v>
      </c>
      <c r="I290" s="2" t="s">
        <v>54</v>
      </c>
      <c r="J290" s="2" t="s">
        <v>55</v>
      </c>
      <c r="K290" s="2" t="s">
        <v>55</v>
      </c>
      <c r="L290" s="2" t="s">
        <v>55</v>
      </c>
      <c r="M290" s="2" t="s">
        <v>54</v>
      </c>
      <c r="N290" s="2" t="s">
        <v>55</v>
      </c>
      <c r="O290" s="2" t="s">
        <v>55</v>
      </c>
      <c r="P290" s="2" t="s">
        <v>55</v>
      </c>
      <c r="Q290" s="3">
        <f t="shared" si="1"/>
        <v>5</v>
      </c>
      <c r="R290" s="3">
        <f t="shared" si="2"/>
        <v>0.0000001460000021</v>
      </c>
      <c r="S290" s="3">
        <f t="shared" si="3"/>
        <v>0</v>
      </c>
      <c r="T290" s="3">
        <f t="shared" si="4"/>
        <v>0</v>
      </c>
      <c r="U290" s="3">
        <f t="shared" si="12"/>
        <v>100</v>
      </c>
      <c r="V290" s="3">
        <f t="shared" si="6"/>
        <v>100</v>
      </c>
      <c r="W290" s="3">
        <f t="shared" si="7"/>
        <v>100</v>
      </c>
      <c r="X290" s="3" t="str">
        <f t="shared" si="8"/>
        <v>full access</v>
      </c>
      <c r="Y290" s="3" t="str">
        <f t="shared" si="9"/>
        <v>full access</v>
      </c>
      <c r="Z290" s="3" t="str">
        <f t="shared" si="10"/>
        <v>full access</v>
      </c>
      <c r="AA290" s="3">
        <f t="shared" si="11"/>
        <v>0</v>
      </c>
    </row>
    <row r="291">
      <c r="A291" s="1" t="s">
        <v>2682</v>
      </c>
      <c r="B291" s="2" t="s">
        <v>43</v>
      </c>
      <c r="C291" s="2" t="s">
        <v>2687</v>
      </c>
      <c r="D291" s="2" t="s">
        <v>2688</v>
      </c>
      <c r="E291" s="2" t="s">
        <v>2689</v>
      </c>
      <c r="F291" s="2" t="s">
        <v>55</v>
      </c>
      <c r="G291" s="2" t="s">
        <v>2690</v>
      </c>
      <c r="H291" s="2" t="s">
        <v>55</v>
      </c>
      <c r="I291" s="2" t="s">
        <v>54</v>
      </c>
      <c r="J291" s="2" t="s">
        <v>55</v>
      </c>
      <c r="K291" s="2" t="s">
        <v>55</v>
      </c>
      <c r="L291" s="2" t="s">
        <v>55</v>
      </c>
      <c r="M291" s="2" t="s">
        <v>54</v>
      </c>
      <c r="N291" s="2" t="s">
        <v>55</v>
      </c>
      <c r="O291" s="2" t="s">
        <v>55</v>
      </c>
      <c r="P291" s="2" t="s">
        <v>55</v>
      </c>
      <c r="Q291" s="3" t="str">
        <f t="shared" si="1"/>
        <v/>
      </c>
      <c r="R291" s="3" t="str">
        <f t="shared" si="2"/>
        <v/>
      </c>
      <c r="S291" s="3" t="str">
        <f t="shared" si="3"/>
        <v/>
      </c>
      <c r="T291" s="3" t="str">
        <f t="shared" si="4"/>
        <v/>
      </c>
      <c r="U291" s="3">
        <f t="shared" si="12"/>
        <v>100</v>
      </c>
      <c r="V291" s="3">
        <f t="shared" si="6"/>
        <v>100</v>
      </c>
      <c r="W291" s="3">
        <f t="shared" si="7"/>
        <v>100</v>
      </c>
      <c r="X291" s="3" t="str">
        <f t="shared" si="8"/>
        <v/>
      </c>
      <c r="Y291" s="3" t="str">
        <f t="shared" si="9"/>
        <v/>
      </c>
      <c r="Z291" s="3" t="str">
        <f t="shared" si="10"/>
        <v/>
      </c>
      <c r="AA291" s="3">
        <f t="shared" si="11"/>
        <v>0</v>
      </c>
    </row>
    <row r="292">
      <c r="A292" s="1" t="s">
        <v>2691</v>
      </c>
      <c r="B292" s="2" t="s">
        <v>28</v>
      </c>
      <c r="C292" s="2" t="s">
        <v>2692</v>
      </c>
      <c r="D292" s="2" t="s">
        <v>2693</v>
      </c>
      <c r="E292" s="2" t="s">
        <v>2694</v>
      </c>
      <c r="F292" s="2" t="s">
        <v>55</v>
      </c>
      <c r="G292" s="2" t="s">
        <v>2695</v>
      </c>
      <c r="H292" s="2" t="s">
        <v>55</v>
      </c>
      <c r="I292" s="1" t="s">
        <v>112</v>
      </c>
      <c r="J292" s="1" t="s">
        <v>112</v>
      </c>
      <c r="K292" s="1" t="s">
        <v>112</v>
      </c>
      <c r="L292" s="1" t="s">
        <v>112</v>
      </c>
      <c r="M292" s="1" t="s">
        <v>112</v>
      </c>
      <c r="N292" s="1" t="s">
        <v>112</v>
      </c>
      <c r="O292" s="1" t="s">
        <v>112</v>
      </c>
      <c r="P292" s="1" t="s">
        <v>112</v>
      </c>
      <c r="Q292" s="3">
        <f t="shared" si="1"/>
        <v>5</v>
      </c>
      <c r="R292" s="3">
        <f t="shared" si="2"/>
        <v>0.233352416</v>
      </c>
      <c r="S292" s="3" t="str">
        <f t="shared" si="3"/>
        <v/>
      </c>
      <c r="T292" s="3" t="str">
        <f t="shared" si="4"/>
        <v/>
      </c>
      <c r="U292" s="3">
        <f t="shared" si="12"/>
        <v>98</v>
      </c>
      <c r="V292" s="3">
        <f t="shared" si="6"/>
        <v>0</v>
      </c>
      <c r="W292" s="3">
        <f t="shared" si="7"/>
        <v>0</v>
      </c>
      <c r="X292" s="3" t="str">
        <f t="shared" si="8"/>
        <v/>
      </c>
      <c r="Y292" s="3" t="str">
        <f t="shared" si="9"/>
        <v/>
      </c>
      <c r="Z292" s="3" t="str">
        <f t="shared" si="10"/>
        <v/>
      </c>
      <c r="AA292" s="3">
        <f t="shared" si="11"/>
        <v>0</v>
      </c>
    </row>
    <row r="293">
      <c r="A293" s="1" t="s">
        <v>2691</v>
      </c>
      <c r="B293" s="2" t="s">
        <v>43</v>
      </c>
      <c r="C293" s="2" t="s">
        <v>2696</v>
      </c>
      <c r="D293" s="2" t="s">
        <v>2697</v>
      </c>
      <c r="E293" s="2" t="s">
        <v>2698</v>
      </c>
      <c r="F293" s="2" t="s">
        <v>55</v>
      </c>
      <c r="G293" s="2" t="s">
        <v>2699</v>
      </c>
      <c r="H293" s="2" t="s">
        <v>55</v>
      </c>
      <c r="I293" s="1" t="s">
        <v>112</v>
      </c>
      <c r="J293" s="1" t="s">
        <v>112</v>
      </c>
      <c r="K293" s="1" t="s">
        <v>112</v>
      </c>
      <c r="L293" s="1" t="s">
        <v>112</v>
      </c>
      <c r="M293" s="1" t="s">
        <v>112</v>
      </c>
      <c r="N293" s="1" t="s">
        <v>112</v>
      </c>
      <c r="O293" s="1" t="s">
        <v>112</v>
      </c>
      <c r="P293" s="1" t="s">
        <v>112</v>
      </c>
      <c r="Q293" s="3" t="str">
        <f t="shared" si="1"/>
        <v/>
      </c>
      <c r="R293" s="3" t="str">
        <f t="shared" si="2"/>
        <v/>
      </c>
      <c r="S293" s="3" t="str">
        <f t="shared" si="3"/>
        <v/>
      </c>
      <c r="T293" s="3" t="str">
        <f t="shared" si="4"/>
        <v/>
      </c>
      <c r="U293" s="3">
        <f t="shared" si="12"/>
        <v>99</v>
      </c>
      <c r="V293" s="3">
        <f t="shared" si="6"/>
        <v>0</v>
      </c>
      <c r="W293" s="3">
        <f t="shared" si="7"/>
        <v>0</v>
      </c>
      <c r="X293" s="3" t="str">
        <f t="shared" si="8"/>
        <v/>
      </c>
      <c r="Y293" s="3" t="str">
        <f t="shared" si="9"/>
        <v/>
      </c>
      <c r="Z293" s="3" t="str">
        <f t="shared" si="10"/>
        <v/>
      </c>
      <c r="AA293" s="3">
        <f t="shared" si="11"/>
        <v>0</v>
      </c>
    </row>
    <row r="294">
      <c r="A294" s="1" t="s">
        <v>2700</v>
      </c>
      <c r="B294" s="2" t="s">
        <v>28</v>
      </c>
      <c r="C294" s="2" t="s">
        <v>2701</v>
      </c>
      <c r="D294" s="2" t="s">
        <v>2702</v>
      </c>
      <c r="E294" s="2" t="s">
        <v>2703</v>
      </c>
      <c r="F294" s="2" t="s">
        <v>55</v>
      </c>
      <c r="G294" s="2" t="s">
        <v>2704</v>
      </c>
      <c r="H294" s="2" t="s">
        <v>55</v>
      </c>
      <c r="I294" s="2" t="s">
        <v>54</v>
      </c>
      <c r="J294" s="2" t="s">
        <v>55</v>
      </c>
      <c r="K294" s="2" t="s">
        <v>55</v>
      </c>
      <c r="L294" s="2" t="s">
        <v>55</v>
      </c>
      <c r="M294" s="2" t="s">
        <v>54</v>
      </c>
      <c r="N294" s="2" t="s">
        <v>55</v>
      </c>
      <c r="O294" s="2" t="s">
        <v>55</v>
      </c>
      <c r="P294" s="2" t="s">
        <v>55</v>
      </c>
      <c r="Q294" s="3">
        <f t="shared" si="1"/>
        <v>5</v>
      </c>
      <c r="R294" s="3">
        <f t="shared" si="2"/>
        <v>0.0000007899999986</v>
      </c>
      <c r="S294" s="3">
        <f t="shared" si="3"/>
        <v>0</v>
      </c>
      <c r="T294" s="3">
        <f t="shared" si="4"/>
        <v>0</v>
      </c>
      <c r="U294" s="3">
        <f t="shared" si="12"/>
        <v>100</v>
      </c>
      <c r="V294" s="3">
        <f t="shared" si="6"/>
        <v>100</v>
      </c>
      <c r="W294" s="3">
        <f t="shared" si="7"/>
        <v>100</v>
      </c>
      <c r="X294" s="3" t="str">
        <f t="shared" si="8"/>
        <v>full access</v>
      </c>
      <c r="Y294" s="3" t="str">
        <f t="shared" si="9"/>
        <v>full access</v>
      </c>
      <c r="Z294" s="3" t="str">
        <f t="shared" si="10"/>
        <v>full access</v>
      </c>
      <c r="AA294" s="3">
        <f t="shared" si="11"/>
        <v>0</v>
      </c>
    </row>
    <row r="295">
      <c r="A295" s="1" t="s">
        <v>2700</v>
      </c>
      <c r="B295" s="2" t="s">
        <v>43</v>
      </c>
      <c r="C295" s="2" t="s">
        <v>2705</v>
      </c>
      <c r="D295" s="2" t="s">
        <v>2706</v>
      </c>
      <c r="E295" s="2" t="s">
        <v>2707</v>
      </c>
      <c r="F295" s="2" t="s">
        <v>55</v>
      </c>
      <c r="G295" s="2" t="s">
        <v>55</v>
      </c>
      <c r="H295" s="2" t="s">
        <v>55</v>
      </c>
      <c r="I295" s="2" t="s">
        <v>54</v>
      </c>
      <c r="J295" s="2" t="s">
        <v>55</v>
      </c>
      <c r="K295" s="2" t="s">
        <v>55</v>
      </c>
      <c r="L295" s="2" t="s">
        <v>55</v>
      </c>
      <c r="M295" s="2" t="s">
        <v>54</v>
      </c>
      <c r="N295" s="2" t="s">
        <v>55</v>
      </c>
      <c r="O295" s="2" t="s">
        <v>55</v>
      </c>
      <c r="P295" s="2" t="s">
        <v>55</v>
      </c>
      <c r="Q295" s="3" t="str">
        <f t="shared" si="1"/>
        <v/>
      </c>
      <c r="R295" s="3" t="str">
        <f t="shared" si="2"/>
        <v/>
      </c>
      <c r="S295" s="3" t="str">
        <f t="shared" si="3"/>
        <v/>
      </c>
      <c r="T295" s="3" t="str">
        <f t="shared" si="4"/>
        <v/>
      </c>
      <c r="U295" s="3">
        <f t="shared" si="12"/>
        <v>100</v>
      </c>
      <c r="V295" s="3">
        <f t="shared" si="6"/>
        <v>100</v>
      </c>
      <c r="W295" s="3">
        <f t="shared" si="7"/>
        <v>100</v>
      </c>
      <c r="X295" s="3" t="str">
        <f t="shared" si="8"/>
        <v/>
      </c>
      <c r="Y295" s="3" t="str">
        <f t="shared" si="9"/>
        <v/>
      </c>
      <c r="Z295" s="3" t="str">
        <f t="shared" si="10"/>
        <v/>
      </c>
      <c r="AA295" s="3">
        <f t="shared" si="11"/>
        <v>0</v>
      </c>
    </row>
    <row r="296">
      <c r="A296" s="1" t="s">
        <v>2708</v>
      </c>
      <c r="B296" s="2" t="s">
        <v>28</v>
      </c>
      <c r="C296" s="2" t="s">
        <v>2709</v>
      </c>
      <c r="D296" s="2" t="s">
        <v>2710</v>
      </c>
      <c r="E296" s="2" t="s">
        <v>2711</v>
      </c>
      <c r="F296" s="2" t="s">
        <v>2712</v>
      </c>
      <c r="G296" s="2" t="s">
        <v>2713</v>
      </c>
      <c r="H296" s="2" t="s">
        <v>2714</v>
      </c>
      <c r="I296" s="2" t="s">
        <v>2715</v>
      </c>
      <c r="J296" s="2" t="s">
        <v>2716</v>
      </c>
      <c r="K296" s="2" t="s">
        <v>2717</v>
      </c>
      <c r="L296" s="2" t="s">
        <v>2718</v>
      </c>
      <c r="M296" s="2" t="s">
        <v>2719</v>
      </c>
      <c r="N296" s="2" t="s">
        <v>2720</v>
      </c>
      <c r="O296" s="2" t="s">
        <v>2721</v>
      </c>
      <c r="P296" s="2" t="s">
        <v>2722</v>
      </c>
      <c r="Q296" s="3">
        <f t="shared" si="1"/>
        <v>5</v>
      </c>
      <c r="R296" s="3">
        <f t="shared" si="2"/>
        <v>0.071125052</v>
      </c>
      <c r="S296" s="3">
        <f t="shared" si="3"/>
        <v>-0.079442242</v>
      </c>
      <c r="T296" s="3">
        <f t="shared" si="4"/>
        <v>0.032840346</v>
      </c>
      <c r="U296" s="3">
        <f t="shared" si="12"/>
        <v>81</v>
      </c>
      <c r="V296" s="3">
        <f t="shared" si="6"/>
        <v>60</v>
      </c>
      <c r="W296" s="3">
        <f t="shared" si="7"/>
        <v>97</v>
      </c>
      <c r="X296" s="3" t="str">
        <f t="shared" si="8"/>
        <v/>
      </c>
      <c r="Y296" s="3" t="str">
        <f t="shared" si="9"/>
        <v/>
      </c>
      <c r="Z296" s="3" t="str">
        <f t="shared" si="10"/>
        <v/>
      </c>
      <c r="AA296" s="3">
        <f t="shared" si="11"/>
        <v>-0.112282588</v>
      </c>
    </row>
    <row r="297">
      <c r="A297" s="1" t="s">
        <v>2708</v>
      </c>
      <c r="B297" s="2" t="s">
        <v>43</v>
      </c>
      <c r="C297" s="2" t="s">
        <v>2723</v>
      </c>
      <c r="D297" s="2" t="s">
        <v>2724</v>
      </c>
      <c r="E297" s="2" t="s">
        <v>2725</v>
      </c>
      <c r="F297" s="2" t="s">
        <v>2726</v>
      </c>
      <c r="G297" s="2" t="s">
        <v>2727</v>
      </c>
      <c r="H297" s="2" t="s">
        <v>2728</v>
      </c>
      <c r="I297" s="2" t="s">
        <v>2729</v>
      </c>
      <c r="J297" s="2" t="s">
        <v>2730</v>
      </c>
      <c r="K297" s="2" t="s">
        <v>2731</v>
      </c>
      <c r="L297" s="2" t="s">
        <v>2732</v>
      </c>
      <c r="M297" s="2" t="s">
        <v>2733</v>
      </c>
      <c r="N297" s="2" t="s">
        <v>2734</v>
      </c>
      <c r="O297" s="2" t="s">
        <v>2735</v>
      </c>
      <c r="P297" s="2" t="s">
        <v>2736</v>
      </c>
      <c r="Q297" s="3" t="str">
        <f t="shared" si="1"/>
        <v/>
      </c>
      <c r="R297" s="3" t="str">
        <f t="shared" si="2"/>
        <v/>
      </c>
      <c r="S297" s="3" t="str">
        <f t="shared" si="3"/>
        <v/>
      </c>
      <c r="T297" s="3" t="str">
        <f t="shared" si="4"/>
        <v/>
      </c>
      <c r="U297" s="3">
        <f t="shared" si="12"/>
        <v>82</v>
      </c>
      <c r="V297" s="3">
        <f t="shared" si="6"/>
        <v>59</v>
      </c>
      <c r="W297" s="3">
        <f t="shared" si="7"/>
        <v>97</v>
      </c>
      <c r="X297" s="3" t="str">
        <f t="shared" si="8"/>
        <v/>
      </c>
      <c r="Y297" s="3" t="str">
        <f t="shared" si="9"/>
        <v/>
      </c>
      <c r="Z297" s="3" t="str">
        <f t="shared" si="10"/>
        <v/>
      </c>
      <c r="AA297" s="3">
        <f t="shared" si="11"/>
        <v>0</v>
      </c>
    </row>
    <row r="298">
      <c r="A298" s="1" t="s">
        <v>2737</v>
      </c>
      <c r="B298" s="2" t="s">
        <v>28</v>
      </c>
      <c r="C298" s="2" t="s">
        <v>2738</v>
      </c>
      <c r="D298" s="2" t="s">
        <v>2739</v>
      </c>
      <c r="E298" s="2" t="s">
        <v>2740</v>
      </c>
      <c r="F298" s="2" t="s">
        <v>2741</v>
      </c>
      <c r="G298" s="2" t="s">
        <v>2742</v>
      </c>
      <c r="H298" s="2" t="s">
        <v>2743</v>
      </c>
      <c r="I298" s="2" t="s">
        <v>2744</v>
      </c>
      <c r="J298" s="2" t="s">
        <v>2745</v>
      </c>
      <c r="K298" s="2" t="s">
        <v>2746</v>
      </c>
      <c r="L298" s="2" t="s">
        <v>2747</v>
      </c>
      <c r="M298" s="2" t="s">
        <v>2748</v>
      </c>
      <c r="N298" s="2" t="s">
        <v>2749</v>
      </c>
      <c r="O298" s="2" t="s">
        <v>2750</v>
      </c>
      <c r="P298" s="2" t="s">
        <v>2751</v>
      </c>
      <c r="Q298" s="3">
        <f t="shared" si="1"/>
        <v>5</v>
      </c>
      <c r="R298" s="3">
        <f t="shared" si="2"/>
        <v>0.285867882</v>
      </c>
      <c r="S298" s="3">
        <f t="shared" si="3"/>
        <v>0.364843534</v>
      </c>
      <c r="T298" s="3">
        <f t="shared" si="4"/>
        <v>-0.338939856</v>
      </c>
      <c r="U298" s="3">
        <f t="shared" si="12"/>
        <v>45</v>
      </c>
      <c r="V298" s="3">
        <f t="shared" si="6"/>
        <v>37</v>
      </c>
      <c r="W298" s="3">
        <f t="shared" si="7"/>
        <v>88</v>
      </c>
      <c r="X298" s="3" t="str">
        <f t="shared" si="8"/>
        <v/>
      </c>
      <c r="Y298" s="3" t="str">
        <f t="shared" si="9"/>
        <v/>
      </c>
      <c r="Z298" s="3" t="str">
        <f t="shared" si="10"/>
        <v/>
      </c>
      <c r="AA298" s="3">
        <f t="shared" si="11"/>
        <v>0.70378339</v>
      </c>
    </row>
    <row r="299">
      <c r="A299" s="1" t="s">
        <v>2737</v>
      </c>
      <c r="B299" s="2" t="s">
        <v>43</v>
      </c>
      <c r="C299" s="2" t="s">
        <v>2752</v>
      </c>
      <c r="D299" s="2" t="s">
        <v>2753</v>
      </c>
      <c r="E299" s="2" t="s">
        <v>2754</v>
      </c>
      <c r="F299" s="2" t="s">
        <v>2755</v>
      </c>
      <c r="G299" s="2" t="s">
        <v>2756</v>
      </c>
      <c r="H299" s="2" t="s">
        <v>2757</v>
      </c>
      <c r="I299" s="2" t="s">
        <v>2758</v>
      </c>
      <c r="J299" s="2" t="s">
        <v>2759</v>
      </c>
      <c r="K299" s="2" t="s">
        <v>2760</v>
      </c>
      <c r="L299" s="2" t="s">
        <v>2761</v>
      </c>
      <c r="M299" s="2" t="s">
        <v>2762</v>
      </c>
      <c r="N299" s="2" t="s">
        <v>2763</v>
      </c>
      <c r="O299" s="2" t="s">
        <v>2764</v>
      </c>
      <c r="P299" s="2" t="s">
        <v>2765</v>
      </c>
      <c r="Q299" s="3" t="str">
        <f t="shared" si="1"/>
        <v/>
      </c>
      <c r="R299" s="3" t="str">
        <f t="shared" si="2"/>
        <v/>
      </c>
      <c r="S299" s="3" t="str">
        <f t="shared" si="3"/>
        <v/>
      </c>
      <c r="T299" s="3" t="str">
        <f t="shared" si="4"/>
        <v/>
      </c>
      <c r="U299" s="3">
        <f t="shared" si="12"/>
        <v>47</v>
      </c>
      <c r="V299" s="3">
        <f t="shared" si="6"/>
        <v>39</v>
      </c>
      <c r="W299" s="3">
        <f t="shared" si="7"/>
        <v>86</v>
      </c>
      <c r="X299" s="3" t="str">
        <f t="shared" si="8"/>
        <v/>
      </c>
      <c r="Y299" s="3" t="str">
        <f t="shared" si="9"/>
        <v/>
      </c>
      <c r="Z299" s="3" t="str">
        <f t="shared" si="10"/>
        <v/>
      </c>
      <c r="AA299" s="3">
        <f t="shared" si="11"/>
        <v>0</v>
      </c>
    </row>
    <row r="300">
      <c r="A300" s="1" t="s">
        <v>2766</v>
      </c>
      <c r="B300" s="2" t="s">
        <v>28</v>
      </c>
      <c r="C300" s="2" t="s">
        <v>2767</v>
      </c>
      <c r="D300" s="2" t="s">
        <v>2768</v>
      </c>
      <c r="E300" s="2" t="s">
        <v>2769</v>
      </c>
      <c r="F300" s="2" t="s">
        <v>2770</v>
      </c>
      <c r="G300" s="2" t="s">
        <v>2771</v>
      </c>
      <c r="H300" s="2" t="s">
        <v>2772</v>
      </c>
      <c r="I300" s="2" t="s">
        <v>2773</v>
      </c>
      <c r="J300" s="2" t="s">
        <v>2774</v>
      </c>
      <c r="K300" s="2" t="s">
        <v>2775</v>
      </c>
      <c r="L300" s="2" t="s">
        <v>2776</v>
      </c>
      <c r="M300" s="2" t="s">
        <v>2777</v>
      </c>
      <c r="N300" s="2" t="s">
        <v>2778</v>
      </c>
      <c r="O300" s="2" t="s">
        <v>2779</v>
      </c>
      <c r="P300" s="2" t="s">
        <v>2780</v>
      </c>
      <c r="Q300" s="3">
        <f t="shared" si="1"/>
        <v>5</v>
      </c>
      <c r="R300" s="3">
        <f t="shared" si="2"/>
        <v>1.765859584</v>
      </c>
      <c r="S300" s="3">
        <f t="shared" si="3"/>
        <v>1.633152206</v>
      </c>
      <c r="T300" s="3">
        <f t="shared" si="4"/>
        <v>1.381769374</v>
      </c>
      <c r="U300" s="3">
        <f t="shared" si="12"/>
        <v>69</v>
      </c>
      <c r="V300" s="3">
        <f t="shared" si="6"/>
        <v>53</v>
      </c>
      <c r="W300" s="3">
        <f t="shared" si="7"/>
        <v>85</v>
      </c>
      <c r="X300" s="3" t="str">
        <f t="shared" si="8"/>
        <v/>
      </c>
      <c r="Y300" s="3" t="str">
        <f t="shared" si="9"/>
        <v/>
      </c>
      <c r="Z300" s="3" t="str">
        <f t="shared" si="10"/>
        <v/>
      </c>
      <c r="AA300" s="3">
        <f t="shared" si="11"/>
        <v>0.251382832</v>
      </c>
    </row>
    <row r="301">
      <c r="A301" s="1" t="s">
        <v>2766</v>
      </c>
      <c r="B301" s="2" t="s">
        <v>43</v>
      </c>
      <c r="C301" s="2" t="s">
        <v>2781</v>
      </c>
      <c r="D301" s="2" t="s">
        <v>2782</v>
      </c>
      <c r="E301" s="2" t="s">
        <v>2783</v>
      </c>
      <c r="F301" s="2" t="s">
        <v>2784</v>
      </c>
      <c r="G301" s="2" t="s">
        <v>2785</v>
      </c>
      <c r="H301" s="2" t="s">
        <v>2786</v>
      </c>
      <c r="I301" s="2" t="s">
        <v>2787</v>
      </c>
      <c r="J301" s="2" t="s">
        <v>2788</v>
      </c>
      <c r="K301" s="2" t="s">
        <v>2789</v>
      </c>
      <c r="L301" s="2" t="s">
        <v>2790</v>
      </c>
      <c r="M301" s="2" t="s">
        <v>2791</v>
      </c>
      <c r="N301" s="2" t="s">
        <v>2792</v>
      </c>
      <c r="O301" s="2" t="s">
        <v>2793</v>
      </c>
      <c r="P301" s="2" t="s">
        <v>2794</v>
      </c>
      <c r="Q301" s="3" t="str">
        <f t="shared" si="1"/>
        <v/>
      </c>
      <c r="R301" s="3" t="str">
        <f t="shared" si="2"/>
        <v/>
      </c>
      <c r="S301" s="3" t="str">
        <f t="shared" si="3"/>
        <v/>
      </c>
      <c r="T301" s="3" t="str">
        <f t="shared" si="4"/>
        <v/>
      </c>
      <c r="U301" s="3">
        <f t="shared" si="12"/>
        <v>78</v>
      </c>
      <c r="V301" s="3">
        <f t="shared" si="6"/>
        <v>62</v>
      </c>
      <c r="W301" s="3">
        <f t="shared" si="7"/>
        <v>92</v>
      </c>
      <c r="X301" s="3" t="str">
        <f t="shared" si="8"/>
        <v/>
      </c>
      <c r="Y301" s="3" t="str">
        <f t="shared" si="9"/>
        <v/>
      </c>
      <c r="Z301" s="3" t="str">
        <f t="shared" si="10"/>
        <v/>
      </c>
      <c r="AA301" s="3">
        <f t="shared" si="11"/>
        <v>0</v>
      </c>
    </row>
    <row r="302">
      <c r="A302" s="1" t="s">
        <v>2795</v>
      </c>
      <c r="B302" s="2" t="s">
        <v>28</v>
      </c>
      <c r="C302" s="2" t="s">
        <v>2796</v>
      </c>
      <c r="D302" s="2" t="s">
        <v>2797</v>
      </c>
      <c r="E302" s="2" t="s">
        <v>2798</v>
      </c>
      <c r="F302" s="2" t="s">
        <v>55</v>
      </c>
      <c r="G302" s="2" t="s">
        <v>2799</v>
      </c>
      <c r="H302" s="2" t="s">
        <v>55</v>
      </c>
      <c r="I302" s="1" t="s">
        <v>112</v>
      </c>
      <c r="J302" s="1" t="s">
        <v>112</v>
      </c>
      <c r="K302" s="1" t="s">
        <v>112</v>
      </c>
      <c r="L302" s="1" t="s">
        <v>112</v>
      </c>
      <c r="M302" s="1" t="s">
        <v>112</v>
      </c>
      <c r="N302" s="1" t="s">
        <v>112</v>
      </c>
      <c r="O302" s="1" t="s">
        <v>112</v>
      </c>
      <c r="P302" s="1" t="s">
        <v>112</v>
      </c>
      <c r="Q302" s="3">
        <f t="shared" si="1"/>
        <v>5</v>
      </c>
      <c r="R302" s="3">
        <f t="shared" si="2"/>
        <v>-0.119052646</v>
      </c>
      <c r="S302" s="3" t="str">
        <f t="shared" si="3"/>
        <v/>
      </c>
      <c r="T302" s="3" t="str">
        <f t="shared" si="4"/>
        <v/>
      </c>
      <c r="U302" s="3">
        <f t="shared" si="12"/>
        <v>98</v>
      </c>
      <c r="V302" s="3">
        <f t="shared" si="6"/>
        <v>0</v>
      </c>
      <c r="W302" s="3">
        <f t="shared" si="7"/>
        <v>0</v>
      </c>
      <c r="X302" s="3" t="str">
        <f t="shared" si="8"/>
        <v/>
      </c>
      <c r="Y302" s="3" t="str">
        <f t="shared" si="9"/>
        <v/>
      </c>
      <c r="Z302" s="3" t="str">
        <f t="shared" si="10"/>
        <v/>
      </c>
      <c r="AA302" s="3">
        <f t="shared" si="11"/>
        <v>0</v>
      </c>
    </row>
    <row r="303">
      <c r="A303" s="1" t="s">
        <v>2795</v>
      </c>
      <c r="B303" s="2" t="s">
        <v>43</v>
      </c>
      <c r="C303" s="2" t="s">
        <v>2800</v>
      </c>
      <c r="D303" s="2" t="s">
        <v>2801</v>
      </c>
      <c r="E303" s="2" t="s">
        <v>2802</v>
      </c>
      <c r="F303" s="2" t="s">
        <v>55</v>
      </c>
      <c r="G303" s="2" t="s">
        <v>2803</v>
      </c>
      <c r="H303" s="2" t="s">
        <v>55</v>
      </c>
      <c r="I303" s="1" t="s">
        <v>112</v>
      </c>
      <c r="J303" s="1" t="s">
        <v>112</v>
      </c>
      <c r="K303" s="1" t="s">
        <v>112</v>
      </c>
      <c r="L303" s="1" t="s">
        <v>112</v>
      </c>
      <c r="M303" s="1" t="s">
        <v>112</v>
      </c>
      <c r="N303" s="1" t="s">
        <v>112</v>
      </c>
      <c r="O303" s="1" t="s">
        <v>112</v>
      </c>
      <c r="P303" s="1" t="s">
        <v>112</v>
      </c>
      <c r="Q303" s="3" t="str">
        <f t="shared" si="1"/>
        <v/>
      </c>
      <c r="R303" s="3" t="str">
        <f t="shared" si="2"/>
        <v/>
      </c>
      <c r="S303" s="3" t="str">
        <f t="shared" si="3"/>
        <v/>
      </c>
      <c r="T303" s="3" t="str">
        <f t="shared" si="4"/>
        <v/>
      </c>
      <c r="U303" s="3">
        <f t="shared" si="12"/>
        <v>97</v>
      </c>
      <c r="V303" s="3">
        <f t="shared" si="6"/>
        <v>0</v>
      </c>
      <c r="W303" s="3">
        <f t="shared" si="7"/>
        <v>0</v>
      </c>
      <c r="X303" s="3" t="str">
        <f t="shared" si="8"/>
        <v/>
      </c>
      <c r="Y303" s="3" t="str">
        <f t="shared" si="9"/>
        <v/>
      </c>
      <c r="Z303" s="3" t="str">
        <f t="shared" si="10"/>
        <v/>
      </c>
      <c r="AA303" s="3">
        <f t="shared" si="11"/>
        <v>0</v>
      </c>
    </row>
    <row r="304">
      <c r="A304" s="1" t="s">
        <v>2804</v>
      </c>
      <c r="B304" s="2" t="s">
        <v>28</v>
      </c>
      <c r="C304" s="2" t="s">
        <v>2805</v>
      </c>
      <c r="D304" s="2" t="s">
        <v>2806</v>
      </c>
      <c r="E304" s="2" t="s">
        <v>2807</v>
      </c>
      <c r="F304" s="2" t="s">
        <v>2808</v>
      </c>
      <c r="G304" s="2" t="s">
        <v>2809</v>
      </c>
      <c r="H304" s="2" t="s">
        <v>2810</v>
      </c>
      <c r="I304" s="2" t="s">
        <v>2811</v>
      </c>
      <c r="J304" s="2" t="s">
        <v>2812</v>
      </c>
      <c r="K304" s="2" t="s">
        <v>2813</v>
      </c>
      <c r="L304" s="2" t="s">
        <v>2814</v>
      </c>
      <c r="M304" s="2" t="s">
        <v>2815</v>
      </c>
      <c r="N304" s="2" t="s">
        <v>2816</v>
      </c>
      <c r="O304" s="2" t="s">
        <v>2817</v>
      </c>
      <c r="P304" s="2" t="s">
        <v>55</v>
      </c>
      <c r="Q304" s="3">
        <f t="shared" si="1"/>
        <v>5</v>
      </c>
      <c r="R304" s="3">
        <f t="shared" si="2"/>
        <v>0.054096592</v>
      </c>
      <c r="S304" s="3">
        <f t="shared" si="3"/>
        <v>-0.032903712</v>
      </c>
      <c r="T304" s="3">
        <f t="shared" si="4"/>
        <v>0.116888982</v>
      </c>
      <c r="U304" s="3">
        <f t="shared" si="12"/>
        <v>97</v>
      </c>
      <c r="V304" s="3">
        <f t="shared" si="6"/>
        <v>98</v>
      </c>
      <c r="W304" s="3">
        <f t="shared" si="7"/>
        <v>97</v>
      </c>
      <c r="X304" s="3" t="str">
        <f t="shared" si="8"/>
        <v/>
      </c>
      <c r="Y304" s="3" t="str">
        <f t="shared" si="9"/>
        <v/>
      </c>
      <c r="Z304" s="3" t="str">
        <f t="shared" si="10"/>
        <v/>
      </c>
      <c r="AA304" s="3">
        <f t="shared" si="11"/>
        <v>-0.149792694</v>
      </c>
    </row>
    <row r="305">
      <c r="A305" s="1" t="s">
        <v>2804</v>
      </c>
      <c r="B305" s="2" t="s">
        <v>43</v>
      </c>
      <c r="C305" s="2" t="s">
        <v>2818</v>
      </c>
      <c r="D305" s="2" t="s">
        <v>2819</v>
      </c>
      <c r="E305" s="2" t="s">
        <v>2820</v>
      </c>
      <c r="F305" s="2" t="s">
        <v>2821</v>
      </c>
      <c r="G305" s="2" t="s">
        <v>2822</v>
      </c>
      <c r="H305" s="2" t="s">
        <v>2823</v>
      </c>
      <c r="I305" s="2" t="s">
        <v>2824</v>
      </c>
      <c r="J305" s="2" t="s">
        <v>2825</v>
      </c>
      <c r="K305" s="2" t="s">
        <v>2826</v>
      </c>
      <c r="L305" s="2" t="s">
        <v>2814</v>
      </c>
      <c r="M305" s="2" t="s">
        <v>2827</v>
      </c>
      <c r="N305" s="2" t="s">
        <v>2828</v>
      </c>
      <c r="O305" s="2" t="s">
        <v>2829</v>
      </c>
      <c r="P305" s="2" t="s">
        <v>55</v>
      </c>
      <c r="Q305" s="3" t="str">
        <f t="shared" si="1"/>
        <v/>
      </c>
      <c r="R305" s="3" t="str">
        <f t="shared" si="2"/>
        <v/>
      </c>
      <c r="S305" s="3" t="str">
        <f t="shared" si="3"/>
        <v/>
      </c>
      <c r="T305" s="3" t="str">
        <f t="shared" si="4"/>
        <v/>
      </c>
      <c r="U305" s="3">
        <f t="shared" si="12"/>
        <v>98</v>
      </c>
      <c r="V305" s="3">
        <f t="shared" si="6"/>
        <v>97</v>
      </c>
      <c r="W305" s="3">
        <f t="shared" si="7"/>
        <v>98</v>
      </c>
      <c r="X305" s="3" t="str">
        <f t="shared" si="8"/>
        <v/>
      </c>
      <c r="Y305" s="3" t="str">
        <f t="shared" si="9"/>
        <v/>
      </c>
      <c r="Z305" s="3" t="str">
        <f t="shared" si="10"/>
        <v/>
      </c>
      <c r="AA305" s="3">
        <f t="shared" si="11"/>
        <v>0</v>
      </c>
    </row>
    <row r="306">
      <c r="A306" s="1" t="s">
        <v>2830</v>
      </c>
      <c r="B306" s="2" t="s">
        <v>28</v>
      </c>
      <c r="C306" s="2" t="s">
        <v>2831</v>
      </c>
      <c r="D306" s="2" t="s">
        <v>2832</v>
      </c>
      <c r="E306" s="2" t="s">
        <v>2833</v>
      </c>
      <c r="F306" s="2" t="s">
        <v>55</v>
      </c>
      <c r="G306" s="2" t="s">
        <v>2834</v>
      </c>
      <c r="H306" s="2" t="s">
        <v>55</v>
      </c>
      <c r="I306" s="1" t="s">
        <v>112</v>
      </c>
      <c r="J306" s="1" t="s">
        <v>112</v>
      </c>
      <c r="K306" s="1" t="s">
        <v>112</v>
      </c>
      <c r="L306" s="1" t="s">
        <v>112</v>
      </c>
      <c r="M306" s="1" t="s">
        <v>112</v>
      </c>
      <c r="N306" s="1" t="s">
        <v>112</v>
      </c>
      <c r="O306" s="1" t="s">
        <v>112</v>
      </c>
      <c r="P306" s="1" t="s">
        <v>112</v>
      </c>
      <c r="Q306" s="3">
        <f t="shared" si="1"/>
        <v>5</v>
      </c>
      <c r="R306" s="3">
        <f t="shared" si="2"/>
        <v>0.003963322</v>
      </c>
      <c r="S306" s="3" t="str">
        <f t="shared" si="3"/>
        <v/>
      </c>
      <c r="T306" s="3" t="str">
        <f t="shared" si="4"/>
        <v/>
      </c>
      <c r="U306" s="3">
        <f t="shared" si="12"/>
        <v>100</v>
      </c>
      <c r="V306" s="3">
        <f t="shared" si="6"/>
        <v>0</v>
      </c>
      <c r="W306" s="3">
        <f t="shared" si="7"/>
        <v>0</v>
      </c>
      <c r="X306" s="3" t="str">
        <f t="shared" si="8"/>
        <v>full access</v>
      </c>
      <c r="Y306" s="3" t="str">
        <f t="shared" si="9"/>
        <v/>
      </c>
      <c r="Z306" s="3" t="str">
        <f t="shared" si="10"/>
        <v/>
      </c>
      <c r="AA306" s="3">
        <f t="shared" si="11"/>
        <v>0</v>
      </c>
    </row>
    <row r="307">
      <c r="A307" s="1" t="s">
        <v>2830</v>
      </c>
      <c r="B307" s="2" t="s">
        <v>43</v>
      </c>
      <c r="C307" s="2" t="s">
        <v>2835</v>
      </c>
      <c r="D307" s="2" t="s">
        <v>2836</v>
      </c>
      <c r="E307" s="2" t="s">
        <v>54</v>
      </c>
      <c r="F307" s="2" t="s">
        <v>55</v>
      </c>
      <c r="G307" s="2" t="s">
        <v>55</v>
      </c>
      <c r="H307" s="2" t="s">
        <v>55</v>
      </c>
      <c r="I307" s="1" t="s">
        <v>112</v>
      </c>
      <c r="J307" s="1" t="s">
        <v>112</v>
      </c>
      <c r="K307" s="1" t="s">
        <v>112</v>
      </c>
      <c r="L307" s="1" t="s">
        <v>112</v>
      </c>
      <c r="M307" s="1" t="s">
        <v>112</v>
      </c>
      <c r="N307" s="1" t="s">
        <v>112</v>
      </c>
      <c r="O307" s="1" t="s">
        <v>112</v>
      </c>
      <c r="P307" s="1" t="s">
        <v>112</v>
      </c>
      <c r="Q307" s="3" t="str">
        <f t="shared" si="1"/>
        <v/>
      </c>
      <c r="R307" s="3" t="str">
        <f t="shared" si="2"/>
        <v/>
      </c>
      <c r="S307" s="3" t="str">
        <f t="shared" si="3"/>
        <v/>
      </c>
      <c r="T307" s="3" t="str">
        <f t="shared" si="4"/>
        <v/>
      </c>
      <c r="U307" s="3">
        <f t="shared" si="12"/>
        <v>100</v>
      </c>
      <c r="V307" s="3">
        <f t="shared" si="6"/>
        <v>0</v>
      </c>
      <c r="W307" s="3">
        <f t="shared" si="7"/>
        <v>0</v>
      </c>
      <c r="X307" s="3" t="str">
        <f t="shared" si="8"/>
        <v/>
      </c>
      <c r="Y307" s="3" t="str">
        <f t="shared" si="9"/>
        <v/>
      </c>
      <c r="Z307" s="3" t="str">
        <f t="shared" si="10"/>
        <v/>
      </c>
      <c r="AA307" s="3">
        <f t="shared" si="11"/>
        <v>0</v>
      </c>
    </row>
    <row r="308">
      <c r="A308" s="1" t="s">
        <v>2837</v>
      </c>
      <c r="B308" s="2" t="s">
        <v>28</v>
      </c>
      <c r="C308" s="2" t="s">
        <v>2838</v>
      </c>
      <c r="D308" s="2" t="s">
        <v>2839</v>
      </c>
      <c r="E308" s="2" t="s">
        <v>2840</v>
      </c>
      <c r="F308" s="2" t="s">
        <v>55</v>
      </c>
      <c r="G308" s="2" t="s">
        <v>55</v>
      </c>
      <c r="H308" s="2" t="s">
        <v>55</v>
      </c>
      <c r="I308" s="2" t="s">
        <v>54</v>
      </c>
      <c r="J308" s="2" t="s">
        <v>55</v>
      </c>
      <c r="K308" s="2" t="s">
        <v>55</v>
      </c>
      <c r="L308" s="2" t="s">
        <v>55</v>
      </c>
      <c r="M308" s="2" t="s">
        <v>54</v>
      </c>
      <c r="N308" s="2" t="s">
        <v>55</v>
      </c>
      <c r="O308" s="2" t="s">
        <v>55</v>
      </c>
      <c r="P308" s="2" t="s">
        <v>55</v>
      </c>
      <c r="Q308" s="3">
        <f t="shared" si="1"/>
        <v>5</v>
      </c>
      <c r="R308" s="3">
        <f t="shared" si="2"/>
        <v>-0.000001140000001</v>
      </c>
      <c r="S308" s="3">
        <f t="shared" si="3"/>
        <v>0</v>
      </c>
      <c r="T308" s="3">
        <f t="shared" si="4"/>
        <v>0</v>
      </c>
      <c r="U308" s="3">
        <f t="shared" si="12"/>
        <v>100</v>
      </c>
      <c r="V308" s="3">
        <f t="shared" si="6"/>
        <v>100</v>
      </c>
      <c r="W308" s="3">
        <f t="shared" si="7"/>
        <v>100</v>
      </c>
      <c r="X308" s="3" t="str">
        <f t="shared" si="8"/>
        <v>full access</v>
      </c>
      <c r="Y308" s="3" t="str">
        <f t="shared" si="9"/>
        <v>full access</v>
      </c>
      <c r="Z308" s="3" t="str">
        <f t="shared" si="10"/>
        <v>full access</v>
      </c>
      <c r="AA308" s="3">
        <f t="shared" si="11"/>
        <v>0</v>
      </c>
    </row>
    <row r="309">
      <c r="A309" s="1" t="s">
        <v>2837</v>
      </c>
      <c r="B309" s="2" t="s">
        <v>43</v>
      </c>
      <c r="C309" s="2" t="s">
        <v>2841</v>
      </c>
      <c r="D309" s="2" t="s">
        <v>2842</v>
      </c>
      <c r="E309" s="2" t="s">
        <v>2843</v>
      </c>
      <c r="F309" s="2" t="s">
        <v>55</v>
      </c>
      <c r="G309" s="2" t="s">
        <v>2844</v>
      </c>
      <c r="H309" s="2" t="s">
        <v>55</v>
      </c>
      <c r="I309" s="2" t="s">
        <v>54</v>
      </c>
      <c r="J309" s="2" t="s">
        <v>55</v>
      </c>
      <c r="K309" s="2" t="s">
        <v>55</v>
      </c>
      <c r="L309" s="2" t="s">
        <v>55</v>
      </c>
      <c r="M309" s="2" t="s">
        <v>54</v>
      </c>
      <c r="N309" s="2" t="s">
        <v>55</v>
      </c>
      <c r="O309" s="2" t="s">
        <v>55</v>
      </c>
      <c r="P309" s="2" t="s">
        <v>55</v>
      </c>
      <c r="Q309" s="3" t="str">
        <f t="shared" si="1"/>
        <v/>
      </c>
      <c r="R309" s="3" t="str">
        <f t="shared" si="2"/>
        <v/>
      </c>
      <c r="S309" s="3" t="str">
        <f t="shared" si="3"/>
        <v/>
      </c>
      <c r="T309" s="3" t="str">
        <f t="shared" si="4"/>
        <v/>
      </c>
      <c r="U309" s="3">
        <f t="shared" si="12"/>
        <v>100</v>
      </c>
      <c r="V309" s="3">
        <f t="shared" si="6"/>
        <v>100</v>
      </c>
      <c r="W309" s="3">
        <f t="shared" si="7"/>
        <v>100</v>
      </c>
      <c r="X309" s="3" t="str">
        <f t="shared" si="8"/>
        <v/>
      </c>
      <c r="Y309" s="3" t="str">
        <f t="shared" si="9"/>
        <v/>
      </c>
      <c r="Z309" s="3" t="str">
        <f t="shared" si="10"/>
        <v/>
      </c>
      <c r="AA309" s="3">
        <f t="shared" si="11"/>
        <v>0</v>
      </c>
    </row>
    <row r="310">
      <c r="A310" s="1" t="s">
        <v>2845</v>
      </c>
      <c r="B310" s="2" t="s">
        <v>28</v>
      </c>
      <c r="C310" s="2" t="s">
        <v>2846</v>
      </c>
      <c r="D310" s="2" t="s">
        <v>2847</v>
      </c>
      <c r="E310" s="2" t="s">
        <v>2848</v>
      </c>
      <c r="F310" s="2" t="s">
        <v>2849</v>
      </c>
      <c r="G310" s="2" t="s">
        <v>2850</v>
      </c>
      <c r="H310" s="2" t="s">
        <v>2851</v>
      </c>
      <c r="I310" s="2" t="s">
        <v>2852</v>
      </c>
      <c r="J310" s="2" t="s">
        <v>2853</v>
      </c>
      <c r="K310" s="2" t="s">
        <v>2854</v>
      </c>
      <c r="L310" s="2" t="s">
        <v>2855</v>
      </c>
      <c r="M310" s="2" t="s">
        <v>2856</v>
      </c>
      <c r="N310" s="2" t="s">
        <v>2857</v>
      </c>
      <c r="O310" s="2" t="s">
        <v>2858</v>
      </c>
      <c r="P310" s="2" t="s">
        <v>2859</v>
      </c>
      <c r="Q310" s="3">
        <f t="shared" si="1"/>
        <v>5</v>
      </c>
      <c r="R310" s="3">
        <f t="shared" si="2"/>
        <v>0.38590781</v>
      </c>
      <c r="S310" s="3">
        <f t="shared" si="3"/>
        <v>0.37677429</v>
      </c>
      <c r="T310" s="3">
        <f t="shared" si="4"/>
        <v>0.164570984</v>
      </c>
      <c r="U310" s="3">
        <f t="shared" si="12"/>
        <v>90</v>
      </c>
      <c r="V310" s="3">
        <f t="shared" si="6"/>
        <v>74</v>
      </c>
      <c r="W310" s="3">
        <f t="shared" si="7"/>
        <v>94</v>
      </c>
      <c r="X310" s="3" t="str">
        <f t="shared" si="8"/>
        <v/>
      </c>
      <c r="Y310" s="3" t="str">
        <f t="shared" si="9"/>
        <v/>
      </c>
      <c r="Z310" s="3" t="str">
        <f t="shared" si="10"/>
        <v/>
      </c>
      <c r="AA310" s="3">
        <f t="shared" si="11"/>
        <v>0.212203306</v>
      </c>
    </row>
    <row r="311">
      <c r="A311" s="1" t="s">
        <v>2845</v>
      </c>
      <c r="B311" s="2" t="s">
        <v>43</v>
      </c>
      <c r="C311" s="2" t="s">
        <v>2860</v>
      </c>
      <c r="D311" s="2" t="s">
        <v>2861</v>
      </c>
      <c r="E311" s="2" t="s">
        <v>2862</v>
      </c>
      <c r="F311" s="2" t="s">
        <v>2863</v>
      </c>
      <c r="G311" s="2" t="s">
        <v>2864</v>
      </c>
      <c r="H311" s="2" t="s">
        <v>2865</v>
      </c>
      <c r="I311" s="2" t="s">
        <v>2866</v>
      </c>
      <c r="J311" s="2" t="s">
        <v>2867</v>
      </c>
      <c r="K311" s="2" t="s">
        <v>2868</v>
      </c>
      <c r="L311" s="2" t="s">
        <v>2869</v>
      </c>
      <c r="M311" s="2" t="s">
        <v>2870</v>
      </c>
      <c r="N311" s="2" t="s">
        <v>2871</v>
      </c>
      <c r="O311" s="2" t="s">
        <v>55</v>
      </c>
      <c r="P311" s="2" t="s">
        <v>55</v>
      </c>
      <c r="Q311" s="3" t="str">
        <f t="shared" si="1"/>
        <v/>
      </c>
      <c r="R311" s="3" t="str">
        <f t="shared" si="2"/>
        <v/>
      </c>
      <c r="S311" s="3" t="str">
        <f t="shared" si="3"/>
        <v/>
      </c>
      <c r="T311" s="3" t="str">
        <f t="shared" si="4"/>
        <v/>
      </c>
      <c r="U311" s="3">
        <f t="shared" si="12"/>
        <v>92</v>
      </c>
      <c r="V311" s="3">
        <f t="shared" si="6"/>
        <v>76</v>
      </c>
      <c r="W311" s="3">
        <f t="shared" si="7"/>
        <v>95</v>
      </c>
      <c r="X311" s="3" t="str">
        <f t="shared" si="8"/>
        <v/>
      </c>
      <c r="Y311" s="3" t="str">
        <f t="shared" si="9"/>
        <v/>
      </c>
      <c r="Z311" s="3" t="str">
        <f t="shared" si="10"/>
        <v/>
      </c>
      <c r="AA311" s="3">
        <f t="shared" si="11"/>
        <v>0</v>
      </c>
    </row>
    <row r="312">
      <c r="A312" s="1" t="s">
        <v>2872</v>
      </c>
      <c r="B312" s="2" t="s">
        <v>28</v>
      </c>
      <c r="C312" s="2" t="s">
        <v>2873</v>
      </c>
      <c r="D312" s="2" t="s">
        <v>2874</v>
      </c>
      <c r="E312" s="2" t="s">
        <v>2875</v>
      </c>
      <c r="F312" s="2" t="s">
        <v>2876</v>
      </c>
      <c r="G312" s="2" t="s">
        <v>2877</v>
      </c>
      <c r="H312" s="2" t="s">
        <v>2878</v>
      </c>
      <c r="I312" s="2" t="s">
        <v>2879</v>
      </c>
      <c r="J312" s="2" t="s">
        <v>2880</v>
      </c>
      <c r="K312" s="2" t="s">
        <v>2881</v>
      </c>
      <c r="L312" s="2" t="s">
        <v>2882</v>
      </c>
      <c r="M312" s="2" t="s">
        <v>2883</v>
      </c>
      <c r="N312" s="2" t="s">
        <v>2884</v>
      </c>
      <c r="O312" s="2" t="s">
        <v>2885</v>
      </c>
      <c r="P312" s="2" t="s">
        <v>2886</v>
      </c>
      <c r="Q312" s="3">
        <f t="shared" si="1"/>
        <v>5</v>
      </c>
      <c r="R312" s="3">
        <f t="shared" si="2"/>
        <v>0.138796548</v>
      </c>
      <c r="S312" s="3">
        <f t="shared" si="3"/>
        <v>0.2897808</v>
      </c>
      <c r="T312" s="3">
        <f t="shared" si="4"/>
        <v>-0.155671798</v>
      </c>
      <c r="U312" s="3">
        <f t="shared" si="12"/>
        <v>89</v>
      </c>
      <c r="V312" s="3">
        <f t="shared" si="6"/>
        <v>87</v>
      </c>
      <c r="W312" s="3">
        <f t="shared" si="7"/>
        <v>94</v>
      </c>
      <c r="X312" s="3" t="str">
        <f t="shared" si="8"/>
        <v/>
      </c>
      <c r="Y312" s="3" t="str">
        <f t="shared" si="9"/>
        <v/>
      </c>
      <c r="Z312" s="3" t="str">
        <f t="shared" si="10"/>
        <v/>
      </c>
      <c r="AA312" s="3">
        <f t="shared" si="11"/>
        <v>0.445452598</v>
      </c>
    </row>
    <row r="313">
      <c r="A313" s="1" t="s">
        <v>2872</v>
      </c>
      <c r="B313" s="2" t="s">
        <v>43</v>
      </c>
      <c r="C313" s="2" t="s">
        <v>2887</v>
      </c>
      <c r="D313" s="2" t="s">
        <v>2888</v>
      </c>
      <c r="E313" s="2" t="s">
        <v>2889</v>
      </c>
      <c r="F313" s="2" t="s">
        <v>2890</v>
      </c>
      <c r="G313" s="2" t="s">
        <v>2891</v>
      </c>
      <c r="H313" s="2" t="s">
        <v>2892</v>
      </c>
      <c r="I313" s="2" t="s">
        <v>2893</v>
      </c>
      <c r="J313" s="2" t="s">
        <v>2894</v>
      </c>
      <c r="K313" s="2" t="s">
        <v>2895</v>
      </c>
      <c r="L313" s="2" t="s">
        <v>2896</v>
      </c>
      <c r="M313" s="2" t="s">
        <v>2897</v>
      </c>
      <c r="N313" s="2" t="s">
        <v>2898</v>
      </c>
      <c r="O313" s="2" t="s">
        <v>2899</v>
      </c>
      <c r="P313" s="2" t="s">
        <v>2900</v>
      </c>
      <c r="Q313" s="3" t="str">
        <f t="shared" si="1"/>
        <v/>
      </c>
      <c r="R313" s="3" t="str">
        <f t="shared" si="2"/>
        <v/>
      </c>
      <c r="S313" s="3" t="str">
        <f t="shared" si="3"/>
        <v/>
      </c>
      <c r="T313" s="3" t="str">
        <f t="shared" si="4"/>
        <v/>
      </c>
      <c r="U313" s="3">
        <f t="shared" si="12"/>
        <v>90</v>
      </c>
      <c r="V313" s="3">
        <f t="shared" si="6"/>
        <v>89</v>
      </c>
      <c r="W313" s="3">
        <f t="shared" si="7"/>
        <v>93</v>
      </c>
      <c r="X313" s="3" t="str">
        <f t="shared" si="8"/>
        <v/>
      </c>
      <c r="Y313" s="3" t="str">
        <f t="shared" si="9"/>
        <v/>
      </c>
      <c r="Z313" s="3" t="str">
        <f t="shared" si="10"/>
        <v/>
      </c>
      <c r="AA313" s="3">
        <f t="shared" si="11"/>
        <v>0</v>
      </c>
    </row>
    <row r="314">
      <c r="A314" s="1" t="s">
        <v>2901</v>
      </c>
      <c r="B314" s="2" t="s">
        <v>28</v>
      </c>
      <c r="C314" s="2" t="s">
        <v>2902</v>
      </c>
      <c r="D314" s="2" t="s">
        <v>2903</v>
      </c>
      <c r="E314" s="2" t="s">
        <v>2904</v>
      </c>
      <c r="F314" s="2" t="s">
        <v>55</v>
      </c>
      <c r="G314" s="2" t="s">
        <v>2905</v>
      </c>
      <c r="H314" s="2" t="s">
        <v>55</v>
      </c>
      <c r="I314" s="2" t="s">
        <v>2906</v>
      </c>
      <c r="J314" s="2" t="s">
        <v>55</v>
      </c>
      <c r="K314" s="2" t="s">
        <v>2907</v>
      </c>
      <c r="L314" s="2" t="s">
        <v>55</v>
      </c>
      <c r="M314" s="2" t="s">
        <v>2908</v>
      </c>
      <c r="N314" s="2" t="s">
        <v>55</v>
      </c>
      <c r="O314" s="2" t="s">
        <v>2909</v>
      </c>
      <c r="P314" s="2" t="s">
        <v>55</v>
      </c>
      <c r="Q314" s="3">
        <f t="shared" si="1"/>
        <v>5</v>
      </c>
      <c r="R314" s="3">
        <f t="shared" si="2"/>
        <v>0.00547893</v>
      </c>
      <c r="S314" s="3">
        <f t="shared" si="3"/>
        <v>0.02862271</v>
      </c>
      <c r="T314" s="3">
        <f t="shared" si="4"/>
        <v>-0.000099948</v>
      </c>
      <c r="U314" s="3">
        <f t="shared" si="12"/>
        <v>100</v>
      </c>
      <c r="V314" s="3">
        <f t="shared" si="6"/>
        <v>100</v>
      </c>
      <c r="W314" s="3">
        <f t="shared" si="7"/>
        <v>100</v>
      </c>
      <c r="X314" s="3" t="str">
        <f t="shared" si="8"/>
        <v>full access</v>
      </c>
      <c r="Y314" s="3" t="str">
        <f t="shared" si="9"/>
        <v>full access</v>
      </c>
      <c r="Z314" s="3" t="str">
        <f t="shared" si="10"/>
        <v>full access</v>
      </c>
      <c r="AA314" s="3">
        <f t="shared" si="11"/>
        <v>0.028722658</v>
      </c>
    </row>
    <row r="315">
      <c r="A315" s="1" t="s">
        <v>2901</v>
      </c>
      <c r="B315" s="2" t="s">
        <v>43</v>
      </c>
      <c r="C315" s="2" t="s">
        <v>2910</v>
      </c>
      <c r="D315" s="2" t="s">
        <v>2911</v>
      </c>
      <c r="E315" s="2" t="s">
        <v>2912</v>
      </c>
      <c r="F315" s="2" t="s">
        <v>55</v>
      </c>
      <c r="G315" s="2" t="s">
        <v>2913</v>
      </c>
      <c r="H315" s="2" t="s">
        <v>55</v>
      </c>
      <c r="I315" s="2" t="s">
        <v>2914</v>
      </c>
      <c r="J315" s="2" t="s">
        <v>55</v>
      </c>
      <c r="K315" s="2" t="s">
        <v>2915</v>
      </c>
      <c r="L315" s="2" t="s">
        <v>55</v>
      </c>
      <c r="M315" s="2" t="s">
        <v>2916</v>
      </c>
      <c r="N315" s="2" t="s">
        <v>55</v>
      </c>
      <c r="O315" s="2" t="s">
        <v>2917</v>
      </c>
      <c r="P315" s="2" t="s">
        <v>55</v>
      </c>
      <c r="Q315" s="3" t="str">
        <f t="shared" si="1"/>
        <v/>
      </c>
      <c r="R315" s="3" t="str">
        <f t="shared" si="2"/>
        <v/>
      </c>
      <c r="S315" s="3" t="str">
        <f t="shared" si="3"/>
        <v/>
      </c>
      <c r="T315" s="3" t="str">
        <f t="shared" si="4"/>
        <v/>
      </c>
      <c r="U315" s="3">
        <f t="shared" si="12"/>
        <v>100</v>
      </c>
      <c r="V315" s="3">
        <f t="shared" si="6"/>
        <v>100</v>
      </c>
      <c r="W315" s="3">
        <f t="shared" si="7"/>
        <v>100</v>
      </c>
      <c r="X315" s="3" t="str">
        <f t="shared" si="8"/>
        <v/>
      </c>
      <c r="Y315" s="3" t="str">
        <f t="shared" si="9"/>
        <v/>
      </c>
      <c r="Z315" s="3" t="str">
        <f t="shared" si="10"/>
        <v/>
      </c>
      <c r="AA315" s="3">
        <f t="shared" si="11"/>
        <v>0</v>
      </c>
    </row>
    <row r="316">
      <c r="A316" s="1" t="s">
        <v>2918</v>
      </c>
      <c r="B316" s="2" t="s">
        <v>28</v>
      </c>
      <c r="C316" s="2" t="s">
        <v>2919</v>
      </c>
      <c r="D316" s="2" t="s">
        <v>2920</v>
      </c>
      <c r="E316" s="2" t="s">
        <v>2921</v>
      </c>
      <c r="F316" s="2" t="s">
        <v>2922</v>
      </c>
      <c r="G316" s="2" t="s">
        <v>2923</v>
      </c>
      <c r="H316" s="2" t="s">
        <v>2924</v>
      </c>
      <c r="I316" s="2" t="s">
        <v>2925</v>
      </c>
      <c r="J316" s="2" t="s">
        <v>2926</v>
      </c>
      <c r="K316" s="2" t="s">
        <v>2927</v>
      </c>
      <c r="L316" s="2" t="s">
        <v>2928</v>
      </c>
      <c r="M316" s="2" t="s">
        <v>2929</v>
      </c>
      <c r="N316" s="2" t="s">
        <v>2930</v>
      </c>
      <c r="O316" s="2" t="s">
        <v>2931</v>
      </c>
      <c r="P316" s="2" t="s">
        <v>2932</v>
      </c>
      <c r="Q316" s="3">
        <f t="shared" si="1"/>
        <v>5</v>
      </c>
      <c r="R316" s="3">
        <f t="shared" si="2"/>
        <v>0.29363575</v>
      </c>
      <c r="S316" s="3">
        <f t="shared" si="3"/>
        <v>0.528700746</v>
      </c>
      <c r="T316" s="3">
        <f t="shared" si="4"/>
        <v>0.115643056</v>
      </c>
      <c r="U316" s="3">
        <f t="shared" si="12"/>
        <v>93</v>
      </c>
      <c r="V316" s="3">
        <f t="shared" si="6"/>
        <v>84</v>
      </c>
      <c r="W316" s="3">
        <f t="shared" si="7"/>
        <v>98</v>
      </c>
      <c r="X316" s="3" t="str">
        <f t="shared" si="8"/>
        <v/>
      </c>
      <c r="Y316" s="3" t="str">
        <f t="shared" si="9"/>
        <v/>
      </c>
      <c r="Z316" s="3" t="str">
        <f t="shared" si="10"/>
        <v/>
      </c>
      <c r="AA316" s="3">
        <f t="shared" si="11"/>
        <v>0.41305769</v>
      </c>
    </row>
    <row r="317">
      <c r="A317" s="1" t="s">
        <v>2918</v>
      </c>
      <c r="B317" s="2" t="s">
        <v>43</v>
      </c>
      <c r="C317" s="2" t="s">
        <v>2933</v>
      </c>
      <c r="D317" s="2" t="s">
        <v>2934</v>
      </c>
      <c r="E317" s="2" t="s">
        <v>2935</v>
      </c>
      <c r="F317" s="2" t="s">
        <v>2936</v>
      </c>
      <c r="G317" s="2" t="s">
        <v>2937</v>
      </c>
      <c r="H317" s="2" t="s">
        <v>2938</v>
      </c>
      <c r="I317" s="2" t="s">
        <v>2939</v>
      </c>
      <c r="J317" s="2" t="s">
        <v>2940</v>
      </c>
      <c r="K317" s="2" t="s">
        <v>2941</v>
      </c>
      <c r="L317" s="2" t="s">
        <v>2942</v>
      </c>
      <c r="M317" s="2" t="s">
        <v>2943</v>
      </c>
      <c r="N317" s="2" t="s">
        <v>2944</v>
      </c>
      <c r="O317" s="2" t="s">
        <v>55</v>
      </c>
      <c r="P317" s="2" t="s">
        <v>55</v>
      </c>
      <c r="Q317" s="3" t="str">
        <f t="shared" si="1"/>
        <v/>
      </c>
      <c r="R317" s="3" t="str">
        <f t="shared" si="2"/>
        <v/>
      </c>
      <c r="S317" s="3" t="str">
        <f t="shared" si="3"/>
        <v/>
      </c>
      <c r="T317" s="3" t="str">
        <f t="shared" si="4"/>
        <v/>
      </c>
      <c r="U317" s="3">
        <f t="shared" si="12"/>
        <v>94</v>
      </c>
      <c r="V317" s="3">
        <f t="shared" si="6"/>
        <v>86</v>
      </c>
      <c r="W317" s="3">
        <f t="shared" si="7"/>
        <v>98</v>
      </c>
      <c r="X317" s="3" t="str">
        <f t="shared" si="8"/>
        <v/>
      </c>
      <c r="Y317" s="3" t="str">
        <f t="shared" si="9"/>
        <v/>
      </c>
      <c r="Z317" s="3" t="str">
        <f t="shared" si="10"/>
        <v/>
      </c>
      <c r="AA317" s="3">
        <f t="shared" si="11"/>
        <v>0</v>
      </c>
    </row>
    <row r="318">
      <c r="A318" s="1" t="s">
        <v>2945</v>
      </c>
      <c r="B318" s="2" t="s">
        <v>28</v>
      </c>
      <c r="C318" s="2" t="s">
        <v>2946</v>
      </c>
      <c r="D318" s="2" t="s">
        <v>2947</v>
      </c>
      <c r="E318" s="2" t="s">
        <v>2948</v>
      </c>
      <c r="F318" s="2" t="s">
        <v>2949</v>
      </c>
      <c r="G318" s="2" t="s">
        <v>2950</v>
      </c>
      <c r="H318" s="2" t="s">
        <v>2951</v>
      </c>
      <c r="I318" s="2" t="s">
        <v>2952</v>
      </c>
      <c r="J318" s="2" t="s">
        <v>2953</v>
      </c>
      <c r="K318" s="2" t="s">
        <v>2954</v>
      </c>
      <c r="L318" s="2" t="s">
        <v>2955</v>
      </c>
      <c r="M318" s="2" t="s">
        <v>2956</v>
      </c>
      <c r="N318" s="2" t="s">
        <v>2957</v>
      </c>
      <c r="O318" s="2" t="s">
        <v>2958</v>
      </c>
      <c r="P318" s="2" t="s">
        <v>2959</v>
      </c>
      <c r="Q318" s="3">
        <f t="shared" si="1"/>
        <v>5</v>
      </c>
      <c r="R318" s="3">
        <f t="shared" si="2"/>
        <v>0.771701816</v>
      </c>
      <c r="S318" s="3">
        <f t="shared" si="3"/>
        <v>0.816142134</v>
      </c>
      <c r="T318" s="3">
        <f t="shared" si="4"/>
        <v>0.234025716</v>
      </c>
      <c r="U318" s="3">
        <f t="shared" si="12"/>
        <v>41</v>
      </c>
      <c r="V318" s="3">
        <f t="shared" si="6"/>
        <v>35</v>
      </c>
      <c r="W318" s="3">
        <f t="shared" si="7"/>
        <v>85</v>
      </c>
      <c r="X318" s="3" t="str">
        <f t="shared" si="8"/>
        <v/>
      </c>
      <c r="Y318" s="3" t="str">
        <f t="shared" si="9"/>
        <v/>
      </c>
      <c r="Z318" s="3" t="str">
        <f t="shared" si="10"/>
        <v/>
      </c>
      <c r="AA318" s="3">
        <f t="shared" si="11"/>
        <v>0.582116418</v>
      </c>
    </row>
    <row r="319">
      <c r="A319" s="1" t="s">
        <v>2945</v>
      </c>
      <c r="B319" s="2" t="s">
        <v>43</v>
      </c>
      <c r="C319" s="2" t="s">
        <v>2960</v>
      </c>
      <c r="D319" s="2" t="s">
        <v>2961</v>
      </c>
      <c r="E319" s="2" t="s">
        <v>2962</v>
      </c>
      <c r="F319" s="2" t="s">
        <v>2963</v>
      </c>
      <c r="G319" s="2" t="s">
        <v>2964</v>
      </c>
      <c r="H319" s="2" t="s">
        <v>2965</v>
      </c>
      <c r="I319" s="2" t="s">
        <v>2966</v>
      </c>
      <c r="J319" s="2" t="s">
        <v>2967</v>
      </c>
      <c r="K319" s="2" t="s">
        <v>2968</v>
      </c>
      <c r="L319" s="2" t="s">
        <v>2969</v>
      </c>
      <c r="M319" s="2" t="s">
        <v>2970</v>
      </c>
      <c r="N319" s="2" t="s">
        <v>2971</v>
      </c>
      <c r="O319" s="2" t="s">
        <v>2972</v>
      </c>
      <c r="P319" s="2" t="s">
        <v>2973</v>
      </c>
      <c r="Q319" s="3" t="str">
        <f t="shared" si="1"/>
        <v/>
      </c>
      <c r="R319" s="3" t="str">
        <f t="shared" si="2"/>
        <v/>
      </c>
      <c r="S319" s="3" t="str">
        <f t="shared" si="3"/>
        <v/>
      </c>
      <c r="T319" s="3" t="str">
        <f t="shared" si="4"/>
        <v/>
      </c>
      <c r="U319" s="3">
        <f t="shared" si="12"/>
        <v>45</v>
      </c>
      <c r="V319" s="3">
        <f t="shared" si="6"/>
        <v>39</v>
      </c>
      <c r="W319" s="3">
        <f t="shared" si="7"/>
        <v>86</v>
      </c>
      <c r="X319" s="3" t="str">
        <f t="shared" si="8"/>
        <v/>
      </c>
      <c r="Y319" s="3" t="str">
        <f t="shared" si="9"/>
        <v/>
      </c>
      <c r="Z319" s="3" t="str">
        <f t="shared" si="10"/>
        <v/>
      </c>
      <c r="AA319" s="3">
        <f t="shared" si="11"/>
        <v>0</v>
      </c>
    </row>
    <row r="320">
      <c r="A320" s="1" t="s">
        <v>2974</v>
      </c>
      <c r="B320" s="2" t="s">
        <v>28</v>
      </c>
      <c r="C320" s="2" t="s">
        <v>2975</v>
      </c>
      <c r="D320" s="2" t="s">
        <v>2976</v>
      </c>
      <c r="E320" s="2" t="s">
        <v>2977</v>
      </c>
      <c r="F320" s="2" t="s">
        <v>2978</v>
      </c>
      <c r="G320" s="2" t="s">
        <v>2979</v>
      </c>
      <c r="H320" s="2" t="s">
        <v>2980</v>
      </c>
      <c r="I320" s="2" t="s">
        <v>2981</v>
      </c>
      <c r="J320" s="2" t="s">
        <v>2982</v>
      </c>
      <c r="K320" s="2" t="s">
        <v>2983</v>
      </c>
      <c r="L320" s="2" t="s">
        <v>2984</v>
      </c>
      <c r="M320" s="2" t="s">
        <v>2985</v>
      </c>
      <c r="N320" s="2" t="s">
        <v>2986</v>
      </c>
      <c r="O320" s="2" t="s">
        <v>2987</v>
      </c>
      <c r="P320" s="2" t="s">
        <v>55</v>
      </c>
      <c r="Q320" s="3">
        <f t="shared" si="1"/>
        <v>5</v>
      </c>
      <c r="R320" s="3">
        <f t="shared" si="2"/>
        <v>0.55145036</v>
      </c>
      <c r="S320" s="3">
        <f t="shared" si="3"/>
        <v>1.153305448</v>
      </c>
      <c r="T320" s="3">
        <f t="shared" si="4"/>
        <v>0.158939962</v>
      </c>
      <c r="U320" s="3">
        <f t="shared" si="12"/>
        <v>97</v>
      </c>
      <c r="V320" s="3">
        <f t="shared" si="6"/>
        <v>93</v>
      </c>
      <c r="W320" s="3">
        <f t="shared" si="7"/>
        <v>99</v>
      </c>
      <c r="X320" s="3" t="str">
        <f t="shared" si="8"/>
        <v/>
      </c>
      <c r="Y320" s="3" t="str">
        <f t="shared" si="9"/>
        <v/>
      </c>
      <c r="Z320" s="3" t="str">
        <f t="shared" si="10"/>
        <v/>
      </c>
      <c r="AA320" s="3">
        <f t="shared" si="11"/>
        <v>0.994365486</v>
      </c>
    </row>
    <row r="321">
      <c r="A321" s="1" t="s">
        <v>2974</v>
      </c>
      <c r="B321" s="2" t="s">
        <v>43</v>
      </c>
      <c r="C321" s="2" t="s">
        <v>2988</v>
      </c>
      <c r="D321" s="2" t="s">
        <v>2989</v>
      </c>
      <c r="E321" s="2" t="s">
        <v>2990</v>
      </c>
      <c r="F321" s="2" t="s">
        <v>2991</v>
      </c>
      <c r="G321" s="2" t="s">
        <v>2992</v>
      </c>
      <c r="H321" s="2" t="s">
        <v>55</v>
      </c>
      <c r="I321" s="2" t="s">
        <v>2993</v>
      </c>
      <c r="J321" s="2" t="s">
        <v>2994</v>
      </c>
      <c r="K321" s="2" t="s">
        <v>55</v>
      </c>
      <c r="L321" s="2" t="s">
        <v>55</v>
      </c>
      <c r="M321" s="2" t="s">
        <v>2995</v>
      </c>
      <c r="N321" s="2" t="s">
        <v>2996</v>
      </c>
      <c r="O321" s="2" t="s">
        <v>55</v>
      </c>
      <c r="P321" s="2" t="s">
        <v>55</v>
      </c>
      <c r="Q321" s="3" t="str">
        <f t="shared" si="1"/>
        <v/>
      </c>
      <c r="R321" s="3" t="str">
        <f t="shared" si="2"/>
        <v/>
      </c>
      <c r="S321" s="3" t="str">
        <f t="shared" si="3"/>
        <v/>
      </c>
      <c r="T321" s="3" t="str">
        <f t="shared" si="4"/>
        <v/>
      </c>
      <c r="U321" s="3">
        <f t="shared" si="12"/>
        <v>100</v>
      </c>
      <c r="V321" s="3">
        <f t="shared" si="6"/>
        <v>99</v>
      </c>
      <c r="W321" s="3">
        <f t="shared" si="7"/>
        <v>100</v>
      </c>
      <c r="X321" s="3" t="str">
        <f t="shared" si="8"/>
        <v/>
      </c>
      <c r="Y321" s="3" t="str">
        <f t="shared" si="9"/>
        <v/>
      </c>
      <c r="Z321" s="3" t="str">
        <f t="shared" si="10"/>
        <v/>
      </c>
      <c r="AA321" s="3">
        <f t="shared" si="11"/>
        <v>0</v>
      </c>
    </row>
    <row r="322">
      <c r="A322" s="1" t="s">
        <v>2997</v>
      </c>
      <c r="B322" s="2" t="s">
        <v>28</v>
      </c>
      <c r="C322" s="2" t="s">
        <v>2998</v>
      </c>
      <c r="D322" s="2" t="s">
        <v>2999</v>
      </c>
      <c r="E322" s="2" t="s">
        <v>3000</v>
      </c>
      <c r="F322" s="2" t="s">
        <v>3001</v>
      </c>
      <c r="G322" s="2" t="s">
        <v>3002</v>
      </c>
      <c r="H322" s="2" t="s">
        <v>3003</v>
      </c>
      <c r="I322" s="2" t="s">
        <v>3004</v>
      </c>
      <c r="J322" s="2" t="s">
        <v>3005</v>
      </c>
      <c r="K322" s="2" t="s">
        <v>3006</v>
      </c>
      <c r="L322" s="2" t="s">
        <v>3007</v>
      </c>
      <c r="M322" s="2" t="s">
        <v>3008</v>
      </c>
      <c r="N322" s="2" t="s">
        <v>3009</v>
      </c>
      <c r="O322" s="2" t="s">
        <v>3010</v>
      </c>
      <c r="P322" s="2" t="s">
        <v>3011</v>
      </c>
      <c r="Q322" s="3">
        <f t="shared" si="1"/>
        <v>5</v>
      </c>
      <c r="R322" s="3">
        <f t="shared" si="2"/>
        <v>0.571472634</v>
      </c>
      <c r="S322" s="3">
        <f t="shared" si="3"/>
        <v>1.50236293</v>
      </c>
      <c r="T322" s="3">
        <f t="shared" si="4"/>
        <v>0.260691412</v>
      </c>
      <c r="U322" s="3">
        <f t="shared" si="12"/>
        <v>90</v>
      </c>
      <c r="V322" s="3">
        <f t="shared" si="6"/>
        <v>73</v>
      </c>
      <c r="W322" s="3">
        <f t="shared" si="7"/>
        <v>95</v>
      </c>
      <c r="X322" s="3" t="str">
        <f t="shared" si="8"/>
        <v/>
      </c>
      <c r="Y322" s="3" t="str">
        <f t="shared" si="9"/>
        <v/>
      </c>
      <c r="Z322" s="3" t="str">
        <f t="shared" si="10"/>
        <v/>
      </c>
      <c r="AA322" s="3">
        <f t="shared" si="11"/>
        <v>1.241671518</v>
      </c>
    </row>
    <row r="323">
      <c r="A323" s="1" t="s">
        <v>2997</v>
      </c>
      <c r="B323" s="2" t="s">
        <v>43</v>
      </c>
      <c r="C323" s="2" t="s">
        <v>3012</v>
      </c>
      <c r="D323" s="2" t="s">
        <v>3013</v>
      </c>
      <c r="E323" s="2" t="s">
        <v>3014</v>
      </c>
      <c r="F323" s="2" t="s">
        <v>3015</v>
      </c>
      <c r="G323" s="2" t="s">
        <v>3016</v>
      </c>
      <c r="H323" s="2" t="s">
        <v>3017</v>
      </c>
      <c r="I323" s="2" t="s">
        <v>3018</v>
      </c>
      <c r="J323" s="2" t="s">
        <v>3019</v>
      </c>
      <c r="K323" s="2" t="s">
        <v>3020</v>
      </c>
      <c r="L323" s="2" t="s">
        <v>3021</v>
      </c>
      <c r="M323" s="2" t="s">
        <v>3022</v>
      </c>
      <c r="N323" s="2" t="s">
        <v>3023</v>
      </c>
      <c r="O323" s="2" t="s">
        <v>3024</v>
      </c>
      <c r="P323" s="2" t="s">
        <v>3025</v>
      </c>
      <c r="Q323" s="3" t="str">
        <f t="shared" si="1"/>
        <v/>
      </c>
      <c r="R323" s="3" t="str">
        <f t="shared" si="2"/>
        <v/>
      </c>
      <c r="S323" s="3" t="str">
        <f t="shared" si="3"/>
        <v/>
      </c>
      <c r="T323" s="3" t="str">
        <f t="shared" si="4"/>
        <v/>
      </c>
      <c r="U323" s="3">
        <f t="shared" si="12"/>
        <v>93</v>
      </c>
      <c r="V323" s="3">
        <f t="shared" si="6"/>
        <v>81</v>
      </c>
      <c r="W323" s="3">
        <f t="shared" si="7"/>
        <v>97</v>
      </c>
      <c r="X323" s="3" t="str">
        <f t="shared" si="8"/>
        <v/>
      </c>
      <c r="Y323" s="3" t="str">
        <f t="shared" si="9"/>
        <v/>
      </c>
      <c r="Z323" s="3" t="str">
        <f t="shared" si="10"/>
        <v/>
      </c>
      <c r="AA323" s="3">
        <f t="shared" si="11"/>
        <v>0</v>
      </c>
    </row>
    <row r="324">
      <c r="A324" s="1" t="s">
        <v>3026</v>
      </c>
      <c r="B324" s="2" t="s">
        <v>28</v>
      </c>
      <c r="C324" s="2" t="s">
        <v>3027</v>
      </c>
      <c r="D324" s="2" t="s">
        <v>3028</v>
      </c>
      <c r="E324" s="2" t="s">
        <v>3029</v>
      </c>
      <c r="F324" s="2" t="s">
        <v>3030</v>
      </c>
      <c r="G324" s="2" t="s">
        <v>3031</v>
      </c>
      <c r="H324" s="2" t="s">
        <v>3032</v>
      </c>
      <c r="I324" s="2" t="s">
        <v>3033</v>
      </c>
      <c r="J324" s="2" t="s">
        <v>3034</v>
      </c>
      <c r="K324" s="2" t="s">
        <v>3035</v>
      </c>
      <c r="L324" s="2" t="s">
        <v>3036</v>
      </c>
      <c r="M324" s="2" t="s">
        <v>3037</v>
      </c>
      <c r="N324" s="2" t="s">
        <v>3038</v>
      </c>
      <c r="O324" s="2" t="s">
        <v>3039</v>
      </c>
      <c r="P324" s="2" t="s">
        <v>3040</v>
      </c>
      <c r="Q324" s="3">
        <f t="shared" si="1"/>
        <v>5</v>
      </c>
      <c r="R324" s="3">
        <f t="shared" si="2"/>
        <v>0.418266708</v>
      </c>
      <c r="S324" s="3">
        <f t="shared" si="3"/>
        <v>0.570754178</v>
      </c>
      <c r="T324" s="3">
        <f t="shared" si="4"/>
        <v>0.210076072</v>
      </c>
      <c r="U324" s="3">
        <f t="shared" si="12"/>
        <v>92</v>
      </c>
      <c r="V324" s="3">
        <f t="shared" si="6"/>
        <v>88</v>
      </c>
      <c r="W324" s="3">
        <f t="shared" si="7"/>
        <v>96</v>
      </c>
      <c r="X324" s="3" t="str">
        <f t="shared" si="8"/>
        <v/>
      </c>
      <c r="Y324" s="3" t="str">
        <f t="shared" si="9"/>
        <v/>
      </c>
      <c r="Z324" s="3" t="str">
        <f t="shared" si="10"/>
        <v/>
      </c>
      <c r="AA324" s="3">
        <f t="shared" si="11"/>
        <v>0.360678106</v>
      </c>
    </row>
    <row r="325">
      <c r="A325" s="1" t="s">
        <v>3026</v>
      </c>
      <c r="B325" s="2" t="s">
        <v>43</v>
      </c>
      <c r="C325" s="2" t="s">
        <v>3041</v>
      </c>
      <c r="D325" s="2" t="s">
        <v>3042</v>
      </c>
      <c r="E325" s="2" t="s">
        <v>3043</v>
      </c>
      <c r="F325" s="2" t="s">
        <v>3044</v>
      </c>
      <c r="G325" s="2" t="s">
        <v>3045</v>
      </c>
      <c r="H325" s="2" t="s">
        <v>55</v>
      </c>
      <c r="I325" s="2" t="s">
        <v>3046</v>
      </c>
      <c r="J325" s="2" t="s">
        <v>3047</v>
      </c>
      <c r="K325" s="2" t="s">
        <v>3048</v>
      </c>
      <c r="L325" s="2" t="s">
        <v>55</v>
      </c>
      <c r="M325" s="2" t="s">
        <v>3049</v>
      </c>
      <c r="N325" s="2" t="s">
        <v>3050</v>
      </c>
      <c r="O325" s="2" t="s">
        <v>3051</v>
      </c>
      <c r="P325" s="2" t="s">
        <v>55</v>
      </c>
      <c r="Q325" s="3" t="str">
        <f t="shared" si="1"/>
        <v/>
      </c>
      <c r="R325" s="3" t="str">
        <f t="shared" si="2"/>
        <v/>
      </c>
      <c r="S325" s="3" t="str">
        <f t="shared" si="3"/>
        <v/>
      </c>
      <c r="T325" s="3" t="str">
        <f t="shared" si="4"/>
        <v/>
      </c>
      <c r="U325" s="3">
        <f t="shared" si="12"/>
        <v>94</v>
      </c>
      <c r="V325" s="3">
        <f t="shared" si="6"/>
        <v>91</v>
      </c>
      <c r="W325" s="3">
        <f t="shared" si="7"/>
        <v>97</v>
      </c>
      <c r="X325" s="3" t="str">
        <f t="shared" si="8"/>
        <v/>
      </c>
      <c r="Y325" s="3" t="str">
        <f t="shared" si="9"/>
        <v/>
      </c>
      <c r="Z325" s="3" t="str">
        <f t="shared" si="10"/>
        <v/>
      </c>
      <c r="AA325" s="3">
        <f t="shared" si="11"/>
        <v>0</v>
      </c>
    </row>
    <row r="326">
      <c r="A326" s="1" t="s">
        <v>3052</v>
      </c>
      <c r="B326" s="2" t="s">
        <v>28</v>
      </c>
      <c r="C326" s="2" t="s">
        <v>3053</v>
      </c>
      <c r="D326" s="2" t="s">
        <v>3054</v>
      </c>
      <c r="E326" s="2" t="s">
        <v>3055</v>
      </c>
      <c r="F326" s="2" t="s">
        <v>55</v>
      </c>
      <c r="G326" s="2" t="s">
        <v>3056</v>
      </c>
      <c r="H326" s="2" t="s">
        <v>55</v>
      </c>
      <c r="I326" s="2" t="s">
        <v>3057</v>
      </c>
      <c r="J326" s="2" t="s">
        <v>55</v>
      </c>
      <c r="K326" s="2" t="s">
        <v>3058</v>
      </c>
      <c r="L326" s="2" t="s">
        <v>55</v>
      </c>
      <c r="M326" s="2" t="s">
        <v>3059</v>
      </c>
      <c r="N326" s="2" t="s">
        <v>55</v>
      </c>
      <c r="O326" s="2" t="s">
        <v>3060</v>
      </c>
      <c r="P326" s="2" t="s">
        <v>55</v>
      </c>
      <c r="Q326" s="3">
        <f t="shared" si="1"/>
        <v>5</v>
      </c>
      <c r="R326" s="3">
        <f t="shared" si="2"/>
        <v>0.146904334</v>
      </c>
      <c r="S326" s="3">
        <f t="shared" si="3"/>
        <v>0.292419354</v>
      </c>
      <c r="T326" s="3">
        <f t="shared" si="4"/>
        <v>0.050967742</v>
      </c>
      <c r="U326" s="3">
        <f t="shared" si="12"/>
        <v>99</v>
      </c>
      <c r="V326" s="3">
        <f t="shared" si="6"/>
        <v>99</v>
      </c>
      <c r="W326" s="3">
        <f t="shared" si="7"/>
        <v>100</v>
      </c>
      <c r="X326" s="3" t="str">
        <f t="shared" si="8"/>
        <v/>
      </c>
      <c r="Y326" s="3" t="str">
        <f t="shared" si="9"/>
        <v/>
      </c>
      <c r="Z326" s="3" t="str">
        <f t="shared" si="10"/>
        <v>full access</v>
      </c>
      <c r="AA326" s="3">
        <f t="shared" si="11"/>
        <v>0.241451612</v>
      </c>
    </row>
    <row r="327">
      <c r="A327" s="1" t="s">
        <v>3052</v>
      </c>
      <c r="B327" s="2" t="s">
        <v>43</v>
      </c>
      <c r="C327" s="2" t="s">
        <v>3061</v>
      </c>
      <c r="D327" s="2" t="s">
        <v>3062</v>
      </c>
      <c r="E327" s="2" t="s">
        <v>3063</v>
      </c>
      <c r="F327" s="2" t="s">
        <v>55</v>
      </c>
      <c r="G327" s="2" t="s">
        <v>3064</v>
      </c>
      <c r="H327" s="2" t="s">
        <v>55</v>
      </c>
      <c r="I327" s="2" t="s">
        <v>54</v>
      </c>
      <c r="J327" s="2" t="s">
        <v>55</v>
      </c>
      <c r="K327" s="2" t="s">
        <v>55</v>
      </c>
      <c r="L327" s="2" t="s">
        <v>55</v>
      </c>
      <c r="M327" s="2" t="s">
        <v>3065</v>
      </c>
      <c r="N327" s="2" t="s">
        <v>55</v>
      </c>
      <c r="O327" s="2" t="s">
        <v>3066</v>
      </c>
      <c r="P327" s="2" t="s">
        <v>55</v>
      </c>
      <c r="Q327" s="3" t="str">
        <f t="shared" si="1"/>
        <v/>
      </c>
      <c r="R327" s="3" t="str">
        <f t="shared" si="2"/>
        <v/>
      </c>
      <c r="S327" s="3" t="str">
        <f t="shared" si="3"/>
        <v/>
      </c>
      <c r="T327" s="3" t="str">
        <f t="shared" si="4"/>
        <v/>
      </c>
      <c r="U327" s="3">
        <f t="shared" si="12"/>
        <v>100</v>
      </c>
      <c r="V327" s="3">
        <f t="shared" si="6"/>
        <v>100</v>
      </c>
      <c r="W327" s="3">
        <f t="shared" si="7"/>
        <v>100</v>
      </c>
      <c r="X327" s="3" t="str">
        <f t="shared" si="8"/>
        <v/>
      </c>
      <c r="Y327" s="3" t="str">
        <f t="shared" si="9"/>
        <v/>
      </c>
      <c r="Z327" s="3" t="str">
        <f t="shared" si="10"/>
        <v/>
      </c>
      <c r="AA327" s="3">
        <f t="shared" si="11"/>
        <v>0</v>
      </c>
    </row>
    <row r="328">
      <c r="A328" s="1" t="s">
        <v>3067</v>
      </c>
      <c r="B328" s="2" t="s">
        <v>28</v>
      </c>
      <c r="C328" s="2" t="s">
        <v>3068</v>
      </c>
      <c r="D328" s="2" t="s">
        <v>3069</v>
      </c>
      <c r="E328" s="2" t="s">
        <v>3070</v>
      </c>
      <c r="F328" s="2" t="s">
        <v>55</v>
      </c>
      <c r="G328" s="2" t="s">
        <v>3071</v>
      </c>
      <c r="H328" s="2" t="s">
        <v>55</v>
      </c>
      <c r="I328" s="2" t="s">
        <v>3072</v>
      </c>
      <c r="J328" s="2" t="s">
        <v>55</v>
      </c>
      <c r="K328" s="2" t="s">
        <v>3073</v>
      </c>
      <c r="L328" s="2" t="s">
        <v>55</v>
      </c>
      <c r="M328" s="2" t="s">
        <v>54</v>
      </c>
      <c r="N328" s="2" t="s">
        <v>55</v>
      </c>
      <c r="O328" s="2" t="s">
        <v>55</v>
      </c>
      <c r="P328" s="2" t="s">
        <v>55</v>
      </c>
      <c r="Q328" s="3">
        <f t="shared" si="1"/>
        <v>5</v>
      </c>
      <c r="R328" s="3">
        <f t="shared" si="2"/>
        <v>0.001460766</v>
      </c>
      <c r="S328" s="3">
        <f t="shared" si="3"/>
        <v>0</v>
      </c>
      <c r="T328" s="3">
        <f t="shared" si="4"/>
        <v>0</v>
      </c>
      <c r="U328" s="3">
        <f t="shared" si="12"/>
        <v>100</v>
      </c>
      <c r="V328" s="3">
        <f t="shared" si="6"/>
        <v>100</v>
      </c>
      <c r="W328" s="3">
        <f t="shared" si="7"/>
        <v>100</v>
      </c>
      <c r="X328" s="3" t="str">
        <f t="shared" si="8"/>
        <v>full access</v>
      </c>
      <c r="Y328" s="3" t="str">
        <f t="shared" si="9"/>
        <v>full access</v>
      </c>
      <c r="Z328" s="3" t="str">
        <f t="shared" si="10"/>
        <v>full access</v>
      </c>
      <c r="AA328" s="3">
        <f t="shared" si="11"/>
        <v>0</v>
      </c>
    </row>
    <row r="329">
      <c r="A329" s="1" t="s">
        <v>3067</v>
      </c>
      <c r="B329" s="2" t="s">
        <v>43</v>
      </c>
      <c r="C329" s="2" t="s">
        <v>3074</v>
      </c>
      <c r="D329" s="2" t="s">
        <v>3075</v>
      </c>
      <c r="E329" s="2" t="s">
        <v>3076</v>
      </c>
      <c r="F329" s="2" t="s">
        <v>55</v>
      </c>
      <c r="G329" s="2" t="s">
        <v>3077</v>
      </c>
      <c r="H329" s="2" t="s">
        <v>55</v>
      </c>
      <c r="I329" s="2" t="s">
        <v>3072</v>
      </c>
      <c r="J329" s="2" t="s">
        <v>55</v>
      </c>
      <c r="K329" s="2" t="s">
        <v>3073</v>
      </c>
      <c r="L329" s="2" t="s">
        <v>55</v>
      </c>
      <c r="M329" s="2" t="s">
        <v>54</v>
      </c>
      <c r="N329" s="2" t="s">
        <v>55</v>
      </c>
      <c r="O329" s="2" t="s">
        <v>55</v>
      </c>
      <c r="P329" s="2" t="s">
        <v>55</v>
      </c>
      <c r="Q329" s="3" t="str">
        <f t="shared" si="1"/>
        <v/>
      </c>
      <c r="R329" s="3" t="str">
        <f t="shared" si="2"/>
        <v/>
      </c>
      <c r="S329" s="3" t="str">
        <f t="shared" si="3"/>
        <v/>
      </c>
      <c r="T329" s="3" t="str">
        <f t="shared" si="4"/>
        <v/>
      </c>
      <c r="U329" s="3">
        <f t="shared" si="12"/>
        <v>100</v>
      </c>
      <c r="V329" s="3">
        <f t="shared" si="6"/>
        <v>100</v>
      </c>
      <c r="W329" s="3">
        <f t="shared" si="7"/>
        <v>100</v>
      </c>
      <c r="X329" s="3" t="str">
        <f t="shared" si="8"/>
        <v/>
      </c>
      <c r="Y329" s="3" t="str">
        <f t="shared" si="9"/>
        <v/>
      </c>
      <c r="Z329" s="3" t="str">
        <f t="shared" si="10"/>
        <v/>
      </c>
      <c r="AA329" s="3">
        <f t="shared" si="11"/>
        <v>0</v>
      </c>
    </row>
    <row r="330">
      <c r="A330" s="1" t="s">
        <v>3078</v>
      </c>
      <c r="B330" s="2" t="s">
        <v>28</v>
      </c>
      <c r="C330" s="2" t="s">
        <v>3079</v>
      </c>
      <c r="D330" s="2" t="s">
        <v>3080</v>
      </c>
      <c r="E330" s="2" t="s">
        <v>3081</v>
      </c>
      <c r="F330" s="2" t="s">
        <v>55</v>
      </c>
      <c r="G330" s="2" t="s">
        <v>3082</v>
      </c>
      <c r="H330" s="2" t="s">
        <v>55</v>
      </c>
      <c r="I330" s="1" t="s">
        <v>112</v>
      </c>
      <c r="J330" s="1" t="s">
        <v>112</v>
      </c>
      <c r="K330" s="1" t="s">
        <v>112</v>
      </c>
      <c r="L330" s="1" t="s">
        <v>112</v>
      </c>
      <c r="M330" s="1" t="s">
        <v>112</v>
      </c>
      <c r="N330" s="1" t="s">
        <v>112</v>
      </c>
      <c r="O330" s="1" t="s">
        <v>112</v>
      </c>
      <c r="P330" s="1" t="s">
        <v>112</v>
      </c>
      <c r="Q330" s="3">
        <f t="shared" si="1"/>
        <v>5</v>
      </c>
      <c r="R330" s="3">
        <f t="shared" si="2"/>
        <v>0.114910048</v>
      </c>
      <c r="S330" s="3" t="str">
        <f t="shared" si="3"/>
        <v/>
      </c>
      <c r="T330" s="3" t="str">
        <f t="shared" si="4"/>
        <v/>
      </c>
      <c r="U330" s="3">
        <f t="shared" si="12"/>
        <v>99</v>
      </c>
      <c r="V330" s="3">
        <f t="shared" si="6"/>
        <v>0</v>
      </c>
      <c r="W330" s="3">
        <f t="shared" si="7"/>
        <v>0</v>
      </c>
      <c r="X330" s="3" t="str">
        <f t="shared" si="8"/>
        <v/>
      </c>
      <c r="Y330" s="3" t="str">
        <f t="shared" si="9"/>
        <v/>
      </c>
      <c r="Z330" s="3" t="str">
        <f t="shared" si="10"/>
        <v/>
      </c>
      <c r="AA330" s="3">
        <f t="shared" si="11"/>
        <v>0</v>
      </c>
    </row>
    <row r="331">
      <c r="A331" s="1" t="s">
        <v>3078</v>
      </c>
      <c r="B331" s="2" t="s">
        <v>43</v>
      </c>
      <c r="C331" s="2" t="s">
        <v>3083</v>
      </c>
      <c r="D331" s="2" t="s">
        <v>3084</v>
      </c>
      <c r="E331" s="2" t="s">
        <v>54</v>
      </c>
      <c r="F331" s="2" t="s">
        <v>55</v>
      </c>
      <c r="G331" s="2" t="s">
        <v>55</v>
      </c>
      <c r="H331" s="2" t="s">
        <v>55</v>
      </c>
      <c r="I331" s="1" t="s">
        <v>112</v>
      </c>
      <c r="J331" s="1" t="s">
        <v>112</v>
      </c>
      <c r="K331" s="1" t="s">
        <v>112</v>
      </c>
      <c r="L331" s="1" t="s">
        <v>112</v>
      </c>
      <c r="M331" s="1" t="s">
        <v>112</v>
      </c>
      <c r="N331" s="1" t="s">
        <v>112</v>
      </c>
      <c r="O331" s="1" t="s">
        <v>112</v>
      </c>
      <c r="P331" s="1" t="s">
        <v>112</v>
      </c>
      <c r="Q331" s="3" t="str">
        <f t="shared" si="1"/>
        <v/>
      </c>
      <c r="R331" s="3" t="str">
        <f t="shared" si="2"/>
        <v/>
      </c>
      <c r="S331" s="3" t="str">
        <f t="shared" si="3"/>
        <v/>
      </c>
      <c r="T331" s="3" t="str">
        <f t="shared" si="4"/>
        <v/>
      </c>
      <c r="U331" s="3">
        <f t="shared" si="12"/>
        <v>100</v>
      </c>
      <c r="V331" s="3">
        <f t="shared" si="6"/>
        <v>0</v>
      </c>
      <c r="W331" s="3">
        <f t="shared" si="7"/>
        <v>0</v>
      </c>
      <c r="X331" s="3" t="str">
        <f t="shared" si="8"/>
        <v/>
      </c>
      <c r="Y331" s="3" t="str">
        <f t="shared" si="9"/>
        <v/>
      </c>
      <c r="Z331" s="3" t="str">
        <f t="shared" si="10"/>
        <v/>
      </c>
      <c r="AA331" s="3">
        <f t="shared" si="11"/>
        <v>0</v>
      </c>
    </row>
    <row r="332">
      <c r="A332" s="1" t="s">
        <v>3085</v>
      </c>
      <c r="B332" s="2" t="s">
        <v>28</v>
      </c>
      <c r="C332" s="2" t="s">
        <v>3086</v>
      </c>
      <c r="D332" s="2" t="s">
        <v>3087</v>
      </c>
      <c r="E332" s="2" t="s">
        <v>3088</v>
      </c>
      <c r="F332" s="2" t="s">
        <v>55</v>
      </c>
      <c r="G332" s="2" t="s">
        <v>3089</v>
      </c>
      <c r="H332" s="2" t="s">
        <v>55</v>
      </c>
      <c r="I332" s="1" t="s">
        <v>112</v>
      </c>
      <c r="J332" s="1" t="s">
        <v>112</v>
      </c>
      <c r="K332" s="1" t="s">
        <v>112</v>
      </c>
      <c r="L332" s="1" t="s">
        <v>112</v>
      </c>
      <c r="M332" s="1" t="s">
        <v>112</v>
      </c>
      <c r="N332" s="1" t="s">
        <v>112</v>
      </c>
      <c r="O332" s="1" t="s">
        <v>112</v>
      </c>
      <c r="P332" s="1" t="s">
        <v>112</v>
      </c>
      <c r="Q332" s="3">
        <f t="shared" si="1"/>
        <v>5</v>
      </c>
      <c r="R332" s="3">
        <f t="shared" si="2"/>
        <v>-0.024679888</v>
      </c>
      <c r="S332" s="3" t="str">
        <f t="shared" si="3"/>
        <v/>
      </c>
      <c r="T332" s="3" t="str">
        <f t="shared" si="4"/>
        <v/>
      </c>
      <c r="U332" s="3">
        <f t="shared" si="12"/>
        <v>100</v>
      </c>
      <c r="V332" s="3">
        <f t="shared" si="6"/>
        <v>0</v>
      </c>
      <c r="W332" s="3">
        <f t="shared" si="7"/>
        <v>0</v>
      </c>
      <c r="X332" s="3" t="str">
        <f t="shared" si="8"/>
        <v>full access</v>
      </c>
      <c r="Y332" s="3" t="str">
        <f t="shared" si="9"/>
        <v/>
      </c>
      <c r="Z332" s="3" t="str">
        <f t="shared" si="10"/>
        <v/>
      </c>
      <c r="AA332" s="3">
        <f t="shared" si="11"/>
        <v>0</v>
      </c>
    </row>
    <row r="333">
      <c r="A333" s="1" t="s">
        <v>3085</v>
      </c>
      <c r="B333" s="2" t="s">
        <v>43</v>
      </c>
      <c r="C333" s="2" t="s">
        <v>3090</v>
      </c>
      <c r="D333" s="2" t="s">
        <v>3091</v>
      </c>
      <c r="E333" s="2" t="s">
        <v>3092</v>
      </c>
      <c r="F333" s="2" t="s">
        <v>55</v>
      </c>
      <c r="G333" s="2" t="s">
        <v>3093</v>
      </c>
      <c r="H333" s="2" t="s">
        <v>55</v>
      </c>
      <c r="I333" s="1" t="s">
        <v>112</v>
      </c>
      <c r="J333" s="1" t="s">
        <v>112</v>
      </c>
      <c r="K333" s="1" t="s">
        <v>112</v>
      </c>
      <c r="L333" s="1" t="s">
        <v>112</v>
      </c>
      <c r="M333" s="1" t="s">
        <v>112</v>
      </c>
      <c r="N333" s="1" t="s">
        <v>112</v>
      </c>
      <c r="O333" s="1" t="s">
        <v>112</v>
      </c>
      <c r="P333" s="1" t="s">
        <v>112</v>
      </c>
      <c r="Q333" s="3" t="str">
        <f t="shared" si="1"/>
        <v/>
      </c>
      <c r="R333" s="3" t="str">
        <f t="shared" si="2"/>
        <v/>
      </c>
      <c r="S333" s="3" t="str">
        <f t="shared" si="3"/>
        <v/>
      </c>
      <c r="T333" s="3" t="str">
        <f t="shared" si="4"/>
        <v/>
      </c>
      <c r="U333" s="3">
        <f t="shared" si="12"/>
        <v>100</v>
      </c>
      <c r="V333" s="3">
        <f t="shared" si="6"/>
        <v>0</v>
      </c>
      <c r="W333" s="3">
        <f t="shared" si="7"/>
        <v>0</v>
      </c>
      <c r="X333" s="3" t="str">
        <f t="shared" si="8"/>
        <v/>
      </c>
      <c r="Y333" s="3" t="str">
        <f t="shared" si="9"/>
        <v/>
      </c>
      <c r="Z333" s="3" t="str">
        <f t="shared" si="10"/>
        <v/>
      </c>
      <c r="AA333" s="3">
        <f t="shared" si="11"/>
        <v>0</v>
      </c>
    </row>
    <row r="334">
      <c r="A334" s="1" t="s">
        <v>3094</v>
      </c>
      <c r="B334" s="2" t="s">
        <v>28</v>
      </c>
      <c r="C334" s="2" t="s">
        <v>3095</v>
      </c>
      <c r="D334" s="2" t="s">
        <v>3096</v>
      </c>
      <c r="E334" s="2" t="s">
        <v>3097</v>
      </c>
      <c r="F334" s="2" t="s">
        <v>55</v>
      </c>
      <c r="G334" s="2" t="s">
        <v>3098</v>
      </c>
      <c r="H334" s="2" t="s">
        <v>55</v>
      </c>
      <c r="I334" s="1" t="s">
        <v>112</v>
      </c>
      <c r="J334" s="1" t="s">
        <v>112</v>
      </c>
      <c r="K334" s="1" t="s">
        <v>112</v>
      </c>
      <c r="L334" s="1" t="s">
        <v>112</v>
      </c>
      <c r="M334" s="1" t="s">
        <v>112</v>
      </c>
      <c r="N334" s="1" t="s">
        <v>112</v>
      </c>
      <c r="O334" s="1" t="s">
        <v>112</v>
      </c>
      <c r="P334" s="1" t="s">
        <v>112</v>
      </c>
      <c r="Q334" s="3">
        <f t="shared" si="1"/>
        <v>5</v>
      </c>
      <c r="R334" s="3">
        <f t="shared" si="2"/>
        <v>0.091730048</v>
      </c>
      <c r="S334" s="3" t="str">
        <f t="shared" si="3"/>
        <v/>
      </c>
      <c r="T334" s="3" t="str">
        <f t="shared" si="4"/>
        <v/>
      </c>
      <c r="U334" s="3">
        <f t="shared" si="12"/>
        <v>99</v>
      </c>
      <c r="V334" s="3">
        <f t="shared" si="6"/>
        <v>0</v>
      </c>
      <c r="W334" s="3">
        <f t="shared" si="7"/>
        <v>0</v>
      </c>
      <c r="X334" s="3" t="str">
        <f t="shared" si="8"/>
        <v/>
      </c>
      <c r="Y334" s="3" t="str">
        <f t="shared" si="9"/>
        <v/>
      </c>
      <c r="Z334" s="3" t="str">
        <f t="shared" si="10"/>
        <v/>
      </c>
      <c r="AA334" s="3">
        <f t="shared" si="11"/>
        <v>0</v>
      </c>
    </row>
    <row r="335">
      <c r="A335" s="1" t="s">
        <v>3094</v>
      </c>
      <c r="B335" s="2" t="s">
        <v>43</v>
      </c>
      <c r="C335" s="2" t="s">
        <v>3099</v>
      </c>
      <c r="D335" s="2" t="s">
        <v>3100</v>
      </c>
      <c r="E335" s="2" t="s">
        <v>3101</v>
      </c>
      <c r="F335" s="2" t="s">
        <v>55</v>
      </c>
      <c r="G335" s="2" t="s">
        <v>3102</v>
      </c>
      <c r="H335" s="2" t="s">
        <v>55</v>
      </c>
      <c r="I335" s="1" t="s">
        <v>112</v>
      </c>
      <c r="J335" s="1" t="s">
        <v>112</v>
      </c>
      <c r="K335" s="1" t="s">
        <v>112</v>
      </c>
      <c r="L335" s="1" t="s">
        <v>112</v>
      </c>
      <c r="M335" s="1" t="s">
        <v>112</v>
      </c>
      <c r="N335" s="1" t="s">
        <v>112</v>
      </c>
      <c r="O335" s="1" t="s">
        <v>112</v>
      </c>
      <c r="P335" s="1" t="s">
        <v>112</v>
      </c>
      <c r="Q335" s="3" t="str">
        <f t="shared" si="1"/>
        <v/>
      </c>
      <c r="R335" s="3" t="str">
        <f t="shared" si="2"/>
        <v/>
      </c>
      <c r="S335" s="3" t="str">
        <f t="shared" si="3"/>
        <v/>
      </c>
      <c r="T335" s="3" t="str">
        <f t="shared" si="4"/>
        <v/>
      </c>
      <c r="U335" s="3">
        <f t="shared" si="12"/>
        <v>100</v>
      </c>
      <c r="V335" s="3">
        <f t="shared" si="6"/>
        <v>0</v>
      </c>
      <c r="W335" s="3">
        <f t="shared" si="7"/>
        <v>0</v>
      </c>
      <c r="X335" s="3" t="str">
        <f t="shared" si="8"/>
        <v/>
      </c>
      <c r="Y335" s="3" t="str">
        <f t="shared" si="9"/>
        <v/>
      </c>
      <c r="Z335" s="3" t="str">
        <f t="shared" si="10"/>
        <v/>
      </c>
      <c r="AA335" s="3">
        <f t="shared" si="11"/>
        <v>0</v>
      </c>
    </row>
    <row r="336">
      <c r="A336" s="1" t="s">
        <v>3103</v>
      </c>
      <c r="B336" s="2" t="s">
        <v>28</v>
      </c>
      <c r="C336" s="2" t="s">
        <v>3104</v>
      </c>
      <c r="D336" s="2" t="s">
        <v>3105</v>
      </c>
      <c r="E336" s="2" t="s">
        <v>3106</v>
      </c>
      <c r="F336" s="2" t="s">
        <v>3107</v>
      </c>
      <c r="G336" s="2" t="s">
        <v>3108</v>
      </c>
      <c r="H336" s="2" t="s">
        <v>55</v>
      </c>
      <c r="I336" s="2" t="s">
        <v>3109</v>
      </c>
      <c r="J336" s="2" t="s">
        <v>3110</v>
      </c>
      <c r="K336" s="2" t="s">
        <v>3111</v>
      </c>
      <c r="L336" s="2" t="s">
        <v>55</v>
      </c>
      <c r="M336" s="2" t="s">
        <v>3112</v>
      </c>
      <c r="N336" s="2" t="s">
        <v>3113</v>
      </c>
      <c r="O336" s="2" t="s">
        <v>3114</v>
      </c>
      <c r="P336" s="2" t="s">
        <v>55</v>
      </c>
      <c r="Q336" s="3">
        <f t="shared" si="1"/>
        <v>5</v>
      </c>
      <c r="R336" s="3">
        <f t="shared" si="2"/>
        <v>0.398786068</v>
      </c>
      <c r="S336" s="3">
        <f t="shared" si="3"/>
        <v>0.587709474</v>
      </c>
      <c r="T336" s="3">
        <f t="shared" si="4"/>
        <v>0.123009016</v>
      </c>
      <c r="U336" s="3">
        <f t="shared" si="12"/>
        <v>89</v>
      </c>
      <c r="V336" s="3">
        <f t="shared" si="6"/>
        <v>83</v>
      </c>
      <c r="W336" s="3">
        <f t="shared" si="7"/>
        <v>97</v>
      </c>
      <c r="X336" s="3" t="str">
        <f t="shared" si="8"/>
        <v/>
      </c>
      <c r="Y336" s="3" t="str">
        <f t="shared" si="9"/>
        <v/>
      </c>
      <c r="Z336" s="3" t="str">
        <f t="shared" si="10"/>
        <v/>
      </c>
      <c r="AA336" s="3">
        <f t="shared" si="11"/>
        <v>0.464700458</v>
      </c>
    </row>
    <row r="337">
      <c r="A337" s="1" t="s">
        <v>3103</v>
      </c>
      <c r="B337" s="2" t="s">
        <v>43</v>
      </c>
      <c r="C337" s="2" t="s">
        <v>3115</v>
      </c>
      <c r="D337" s="2" t="s">
        <v>3116</v>
      </c>
      <c r="E337" s="2" t="s">
        <v>3117</v>
      </c>
      <c r="F337" s="2" t="s">
        <v>3118</v>
      </c>
      <c r="G337" s="2" t="s">
        <v>3119</v>
      </c>
      <c r="H337" s="2" t="s">
        <v>55</v>
      </c>
      <c r="I337" s="2" t="s">
        <v>3120</v>
      </c>
      <c r="J337" s="2" t="s">
        <v>3121</v>
      </c>
      <c r="K337" s="2" t="s">
        <v>3122</v>
      </c>
      <c r="L337" s="2" t="s">
        <v>55</v>
      </c>
      <c r="M337" s="2" t="s">
        <v>3123</v>
      </c>
      <c r="N337" s="2" t="s">
        <v>3124</v>
      </c>
      <c r="O337" s="2" t="s">
        <v>3125</v>
      </c>
      <c r="P337" s="2" t="s">
        <v>55</v>
      </c>
      <c r="Q337" s="3" t="str">
        <f t="shared" si="1"/>
        <v/>
      </c>
      <c r="R337" s="3" t="str">
        <f t="shared" si="2"/>
        <v/>
      </c>
      <c r="S337" s="3" t="str">
        <f t="shared" si="3"/>
        <v/>
      </c>
      <c r="T337" s="3" t="str">
        <f t="shared" si="4"/>
        <v/>
      </c>
      <c r="U337" s="3">
        <f t="shared" si="12"/>
        <v>91</v>
      </c>
      <c r="V337" s="3">
        <f t="shared" si="6"/>
        <v>85</v>
      </c>
      <c r="W337" s="3">
        <f t="shared" si="7"/>
        <v>97</v>
      </c>
      <c r="X337" s="3" t="str">
        <f t="shared" si="8"/>
        <v/>
      </c>
      <c r="Y337" s="3" t="str">
        <f t="shared" si="9"/>
        <v/>
      </c>
      <c r="Z337" s="3" t="str">
        <f t="shared" si="10"/>
        <v/>
      </c>
      <c r="AA337" s="3">
        <f t="shared" si="11"/>
        <v>0</v>
      </c>
    </row>
    <row r="338">
      <c r="A338" s="1" t="s">
        <v>3126</v>
      </c>
      <c r="B338" s="2" t="s">
        <v>28</v>
      </c>
      <c r="C338" s="2" t="s">
        <v>3127</v>
      </c>
      <c r="D338" s="2" t="s">
        <v>3128</v>
      </c>
      <c r="E338" s="2" t="s">
        <v>3129</v>
      </c>
      <c r="F338" s="2" t="s">
        <v>55</v>
      </c>
      <c r="G338" s="2" t="s">
        <v>3130</v>
      </c>
      <c r="H338" s="2" t="s">
        <v>55</v>
      </c>
      <c r="I338" s="1" t="s">
        <v>112</v>
      </c>
      <c r="J338" s="1" t="s">
        <v>112</v>
      </c>
      <c r="K338" s="1" t="s">
        <v>112</v>
      </c>
      <c r="L338" s="1" t="s">
        <v>112</v>
      </c>
      <c r="M338" s="1" t="s">
        <v>112</v>
      </c>
      <c r="N338" s="1" t="s">
        <v>112</v>
      </c>
      <c r="O338" s="1" t="s">
        <v>112</v>
      </c>
      <c r="P338" s="1" t="s">
        <v>112</v>
      </c>
      <c r="Q338" s="3">
        <f t="shared" si="1"/>
        <v>5</v>
      </c>
      <c r="R338" s="3">
        <f t="shared" si="2"/>
        <v>0.017693962</v>
      </c>
      <c r="S338" s="3" t="str">
        <f t="shared" si="3"/>
        <v/>
      </c>
      <c r="T338" s="3" t="str">
        <f t="shared" si="4"/>
        <v/>
      </c>
      <c r="U338" s="3">
        <f t="shared" si="12"/>
        <v>100</v>
      </c>
      <c r="V338" s="3">
        <f t="shared" si="6"/>
        <v>0</v>
      </c>
      <c r="W338" s="3">
        <f t="shared" si="7"/>
        <v>0</v>
      </c>
      <c r="X338" s="3" t="str">
        <f t="shared" si="8"/>
        <v>full access</v>
      </c>
      <c r="Y338" s="3" t="str">
        <f t="shared" si="9"/>
        <v/>
      </c>
      <c r="Z338" s="3" t="str">
        <f t="shared" si="10"/>
        <v/>
      </c>
      <c r="AA338" s="3">
        <f t="shared" si="11"/>
        <v>0</v>
      </c>
    </row>
    <row r="339">
      <c r="A339" s="1" t="s">
        <v>3126</v>
      </c>
      <c r="B339" s="2" t="s">
        <v>43</v>
      </c>
      <c r="C339" s="2" t="s">
        <v>3131</v>
      </c>
      <c r="D339" s="2" t="s">
        <v>3132</v>
      </c>
      <c r="E339" s="2" t="s">
        <v>54</v>
      </c>
      <c r="F339" s="2" t="s">
        <v>55</v>
      </c>
      <c r="G339" s="2" t="s">
        <v>55</v>
      </c>
      <c r="H339" s="2" t="s">
        <v>55</v>
      </c>
      <c r="I339" s="1" t="s">
        <v>112</v>
      </c>
      <c r="J339" s="1" t="s">
        <v>112</v>
      </c>
      <c r="K339" s="1" t="s">
        <v>112</v>
      </c>
      <c r="L339" s="1" t="s">
        <v>112</v>
      </c>
      <c r="M339" s="1" t="s">
        <v>112</v>
      </c>
      <c r="N339" s="1" t="s">
        <v>112</v>
      </c>
      <c r="O339" s="1" t="s">
        <v>112</v>
      </c>
      <c r="P339" s="1" t="s">
        <v>112</v>
      </c>
      <c r="Q339" s="3" t="str">
        <f t="shared" si="1"/>
        <v/>
      </c>
      <c r="R339" s="3" t="str">
        <f t="shared" si="2"/>
        <v/>
      </c>
      <c r="S339" s="3" t="str">
        <f t="shared" si="3"/>
        <v/>
      </c>
      <c r="T339" s="3" t="str">
        <f t="shared" si="4"/>
        <v/>
      </c>
      <c r="U339" s="3">
        <f t="shared" si="12"/>
        <v>100</v>
      </c>
      <c r="V339" s="3">
        <f t="shared" si="6"/>
        <v>0</v>
      </c>
      <c r="W339" s="3">
        <f t="shared" si="7"/>
        <v>0</v>
      </c>
      <c r="X339" s="3" t="str">
        <f t="shared" si="8"/>
        <v/>
      </c>
      <c r="Y339" s="3" t="str">
        <f t="shared" si="9"/>
        <v/>
      </c>
      <c r="Z339" s="3" t="str">
        <f t="shared" si="10"/>
        <v/>
      </c>
      <c r="AA339" s="3">
        <f t="shared" si="11"/>
        <v>0</v>
      </c>
    </row>
    <row r="340">
      <c r="A340" s="1" t="s">
        <v>3133</v>
      </c>
      <c r="B340" s="2" t="s">
        <v>28</v>
      </c>
      <c r="C340" s="2" t="s">
        <v>3134</v>
      </c>
      <c r="D340" s="2" t="s">
        <v>3135</v>
      </c>
      <c r="E340" s="2" t="s">
        <v>54</v>
      </c>
      <c r="F340" s="2" t="s">
        <v>55</v>
      </c>
      <c r="G340" s="2" t="s">
        <v>55</v>
      </c>
      <c r="H340" s="2" t="s">
        <v>55</v>
      </c>
      <c r="I340" s="2" t="s">
        <v>54</v>
      </c>
      <c r="J340" s="2" t="s">
        <v>55</v>
      </c>
      <c r="K340" s="2" t="s">
        <v>55</v>
      </c>
      <c r="L340" s="2" t="s">
        <v>55</v>
      </c>
      <c r="M340" s="2" t="s">
        <v>54</v>
      </c>
      <c r="N340" s="2" t="s">
        <v>55</v>
      </c>
      <c r="O340" s="2" t="s">
        <v>55</v>
      </c>
      <c r="P340" s="2" t="s">
        <v>55</v>
      </c>
      <c r="Q340" s="3">
        <f t="shared" si="1"/>
        <v>5</v>
      </c>
      <c r="R340" s="3">
        <f t="shared" si="2"/>
        <v>0</v>
      </c>
      <c r="S340" s="3">
        <f t="shared" si="3"/>
        <v>0</v>
      </c>
      <c r="T340" s="3">
        <f t="shared" si="4"/>
        <v>0</v>
      </c>
      <c r="U340" s="3">
        <f t="shared" si="12"/>
        <v>100</v>
      </c>
      <c r="V340" s="3">
        <f t="shared" si="6"/>
        <v>100</v>
      </c>
      <c r="W340" s="3">
        <f t="shared" si="7"/>
        <v>100</v>
      </c>
      <c r="X340" s="3" t="str">
        <f t="shared" si="8"/>
        <v>full access</v>
      </c>
      <c r="Y340" s="3" t="str">
        <f t="shared" si="9"/>
        <v>full access</v>
      </c>
      <c r="Z340" s="3" t="str">
        <f t="shared" si="10"/>
        <v>full access</v>
      </c>
      <c r="AA340" s="3">
        <f t="shared" si="11"/>
        <v>0</v>
      </c>
    </row>
    <row r="341">
      <c r="A341" s="1" t="s">
        <v>3133</v>
      </c>
      <c r="B341" s="2" t="s">
        <v>43</v>
      </c>
      <c r="C341" s="2" t="s">
        <v>3136</v>
      </c>
      <c r="D341" s="2" t="s">
        <v>3137</v>
      </c>
      <c r="E341" s="2" t="s">
        <v>54</v>
      </c>
      <c r="F341" s="2" t="s">
        <v>55</v>
      </c>
      <c r="G341" s="2" t="s">
        <v>55</v>
      </c>
      <c r="H341" s="2" t="s">
        <v>55</v>
      </c>
      <c r="I341" s="2" t="s">
        <v>54</v>
      </c>
      <c r="J341" s="2" t="s">
        <v>55</v>
      </c>
      <c r="K341" s="2" t="s">
        <v>55</v>
      </c>
      <c r="L341" s="2" t="s">
        <v>55</v>
      </c>
      <c r="M341" s="2" t="s">
        <v>54</v>
      </c>
      <c r="N341" s="2" t="s">
        <v>55</v>
      </c>
      <c r="O341" s="2" t="s">
        <v>55</v>
      </c>
      <c r="P341" s="2" t="s">
        <v>55</v>
      </c>
      <c r="Q341" s="3" t="str">
        <f t="shared" si="1"/>
        <v/>
      </c>
      <c r="R341" s="3" t="str">
        <f t="shared" si="2"/>
        <v/>
      </c>
      <c r="S341" s="3" t="str">
        <f t="shared" si="3"/>
        <v/>
      </c>
      <c r="T341" s="3" t="str">
        <f t="shared" si="4"/>
        <v/>
      </c>
      <c r="U341" s="3">
        <f t="shared" si="12"/>
        <v>100</v>
      </c>
      <c r="V341" s="3">
        <f t="shared" si="6"/>
        <v>100</v>
      </c>
      <c r="W341" s="3">
        <f t="shared" si="7"/>
        <v>100</v>
      </c>
      <c r="X341" s="3" t="str">
        <f t="shared" si="8"/>
        <v/>
      </c>
      <c r="Y341" s="3" t="str">
        <f t="shared" si="9"/>
        <v/>
      </c>
      <c r="Z341" s="3" t="str">
        <f t="shared" si="10"/>
        <v/>
      </c>
      <c r="AA341" s="3">
        <f t="shared" si="11"/>
        <v>0</v>
      </c>
    </row>
    <row r="342">
      <c r="A342" s="1" t="s">
        <v>3138</v>
      </c>
      <c r="B342" s="2" t="s">
        <v>28</v>
      </c>
      <c r="C342" s="2" t="s">
        <v>3139</v>
      </c>
      <c r="D342" s="2" t="s">
        <v>3140</v>
      </c>
      <c r="E342" s="2" t="s">
        <v>3141</v>
      </c>
      <c r="F342" s="2" t="s">
        <v>3142</v>
      </c>
      <c r="G342" s="2" t="s">
        <v>3143</v>
      </c>
      <c r="H342" s="1" t="s">
        <v>112</v>
      </c>
      <c r="I342" s="2" t="s">
        <v>3144</v>
      </c>
      <c r="J342" s="2" t="s">
        <v>3145</v>
      </c>
      <c r="K342" s="2" t="s">
        <v>3146</v>
      </c>
      <c r="L342" s="1" t="s">
        <v>112</v>
      </c>
      <c r="M342" s="2" t="s">
        <v>3147</v>
      </c>
      <c r="N342" s="2" t="s">
        <v>3148</v>
      </c>
      <c r="O342" s="2" t="s">
        <v>3149</v>
      </c>
      <c r="P342" s="2" t="s">
        <v>3150</v>
      </c>
      <c r="Q342" s="3">
        <f t="shared" si="1"/>
        <v>5</v>
      </c>
      <c r="R342" s="3">
        <f t="shared" si="2"/>
        <v>0.093078528</v>
      </c>
      <c r="S342" s="3">
        <f t="shared" si="3"/>
        <v>0.28679859</v>
      </c>
      <c r="T342" s="3">
        <f t="shared" si="4"/>
        <v>0.011332944</v>
      </c>
      <c r="U342" s="3">
        <f t="shared" si="12"/>
        <v>97</v>
      </c>
      <c r="V342" s="3">
        <f t="shared" si="6"/>
        <v>90</v>
      </c>
      <c r="W342" s="3">
        <f t="shared" si="7"/>
        <v>99</v>
      </c>
      <c r="X342" s="3" t="str">
        <f t="shared" si="8"/>
        <v/>
      </c>
      <c r="Y342" s="3" t="str">
        <f t="shared" si="9"/>
        <v/>
      </c>
      <c r="Z342" s="3" t="str">
        <f t="shared" si="10"/>
        <v/>
      </c>
      <c r="AA342" s="3">
        <f t="shared" si="11"/>
        <v>0.275465646</v>
      </c>
    </row>
    <row r="343">
      <c r="A343" s="1" t="s">
        <v>3138</v>
      </c>
      <c r="B343" s="2" t="s">
        <v>43</v>
      </c>
      <c r="C343" s="2" t="s">
        <v>3151</v>
      </c>
      <c r="D343" s="2" t="s">
        <v>3152</v>
      </c>
      <c r="E343" s="2" t="s">
        <v>3153</v>
      </c>
      <c r="F343" s="2" t="s">
        <v>3154</v>
      </c>
      <c r="G343" s="2" t="s">
        <v>3155</v>
      </c>
      <c r="H343" s="1" t="s">
        <v>112</v>
      </c>
      <c r="I343" s="2" t="s">
        <v>3156</v>
      </c>
      <c r="J343" s="2" t="s">
        <v>3157</v>
      </c>
      <c r="K343" s="2" t="s">
        <v>3158</v>
      </c>
      <c r="L343" s="1" t="s">
        <v>112</v>
      </c>
      <c r="M343" s="2" t="s">
        <v>3159</v>
      </c>
      <c r="N343" s="2" t="s">
        <v>3160</v>
      </c>
      <c r="O343" s="2" t="s">
        <v>3161</v>
      </c>
      <c r="P343" s="2" t="s">
        <v>3150</v>
      </c>
      <c r="Q343" s="3" t="str">
        <f t="shared" si="1"/>
        <v/>
      </c>
      <c r="R343" s="3" t="str">
        <f t="shared" si="2"/>
        <v/>
      </c>
      <c r="S343" s="3" t="str">
        <f t="shared" si="3"/>
        <v/>
      </c>
      <c r="T343" s="3" t="str">
        <f t="shared" si="4"/>
        <v/>
      </c>
      <c r="U343" s="3">
        <f t="shared" si="12"/>
        <v>97</v>
      </c>
      <c r="V343" s="3">
        <f t="shared" si="6"/>
        <v>92</v>
      </c>
      <c r="W343" s="3">
        <f t="shared" si="7"/>
        <v>99</v>
      </c>
      <c r="X343" s="3" t="str">
        <f t="shared" si="8"/>
        <v/>
      </c>
      <c r="Y343" s="3" t="str">
        <f t="shared" si="9"/>
        <v/>
      </c>
      <c r="Z343" s="3" t="str">
        <f t="shared" si="10"/>
        <v/>
      </c>
      <c r="AA343" s="3">
        <f t="shared" si="11"/>
        <v>0</v>
      </c>
    </row>
    <row r="344">
      <c r="A344" s="1" t="s">
        <v>3162</v>
      </c>
      <c r="B344" s="2" t="s">
        <v>28</v>
      </c>
      <c r="C344" s="2" t="s">
        <v>3163</v>
      </c>
      <c r="D344" s="2" t="s">
        <v>3164</v>
      </c>
      <c r="E344" s="2" t="s">
        <v>3165</v>
      </c>
      <c r="F344" s="2" t="s">
        <v>3166</v>
      </c>
      <c r="G344" s="2" t="s">
        <v>3167</v>
      </c>
      <c r="H344" s="2" t="s">
        <v>3168</v>
      </c>
      <c r="I344" s="2" t="s">
        <v>3169</v>
      </c>
      <c r="J344" s="2" t="s">
        <v>3170</v>
      </c>
      <c r="K344" s="2" t="s">
        <v>3171</v>
      </c>
      <c r="L344" s="2" t="s">
        <v>3172</v>
      </c>
      <c r="M344" s="2" t="s">
        <v>3173</v>
      </c>
      <c r="N344" s="2" t="s">
        <v>3174</v>
      </c>
      <c r="O344" s="2" t="s">
        <v>3175</v>
      </c>
      <c r="P344" s="2" t="s">
        <v>3176</v>
      </c>
      <c r="Q344" s="3">
        <f t="shared" si="1"/>
        <v>5</v>
      </c>
      <c r="R344" s="3">
        <f t="shared" si="2"/>
        <v>0.658545426</v>
      </c>
      <c r="S344" s="3">
        <f t="shared" si="3"/>
        <v>0.657951734</v>
      </c>
      <c r="T344" s="3">
        <f t="shared" si="4"/>
        <v>0.523632384</v>
      </c>
      <c r="U344" s="3">
        <f t="shared" si="12"/>
        <v>57</v>
      </c>
      <c r="V344" s="3">
        <f t="shared" si="6"/>
        <v>52</v>
      </c>
      <c r="W344" s="3">
        <f t="shared" si="7"/>
        <v>80</v>
      </c>
      <c r="X344" s="3" t="str">
        <f t="shared" si="8"/>
        <v/>
      </c>
      <c r="Y344" s="3" t="str">
        <f t="shared" si="9"/>
        <v/>
      </c>
      <c r="Z344" s="3" t="str">
        <f t="shared" si="10"/>
        <v/>
      </c>
      <c r="AA344" s="3">
        <f t="shared" si="11"/>
        <v>0.13431935</v>
      </c>
    </row>
    <row r="345">
      <c r="A345" s="1" t="s">
        <v>3162</v>
      </c>
      <c r="B345" s="2" t="s">
        <v>43</v>
      </c>
      <c r="C345" s="2" t="s">
        <v>3177</v>
      </c>
      <c r="D345" s="2" t="s">
        <v>3178</v>
      </c>
      <c r="E345" s="2" t="s">
        <v>3179</v>
      </c>
      <c r="F345" s="2" t="s">
        <v>3180</v>
      </c>
      <c r="G345" s="2" t="s">
        <v>3181</v>
      </c>
      <c r="H345" s="2" t="s">
        <v>3182</v>
      </c>
      <c r="I345" s="2" t="s">
        <v>3183</v>
      </c>
      <c r="J345" s="2" t="s">
        <v>3184</v>
      </c>
      <c r="K345" s="2" t="s">
        <v>3185</v>
      </c>
      <c r="L345" s="2" t="s">
        <v>3186</v>
      </c>
      <c r="M345" s="2" t="s">
        <v>3187</v>
      </c>
      <c r="N345" s="2" t="s">
        <v>3188</v>
      </c>
      <c r="O345" s="2" t="s">
        <v>3189</v>
      </c>
      <c r="P345" s="2" t="s">
        <v>3190</v>
      </c>
      <c r="Q345" s="3" t="str">
        <f t="shared" si="1"/>
        <v/>
      </c>
      <c r="R345" s="3" t="str">
        <f t="shared" si="2"/>
        <v/>
      </c>
      <c r="S345" s="3" t="str">
        <f t="shared" si="3"/>
        <v/>
      </c>
      <c r="T345" s="3" t="str">
        <f t="shared" si="4"/>
        <v/>
      </c>
      <c r="U345" s="3">
        <f t="shared" si="12"/>
        <v>60</v>
      </c>
      <c r="V345" s="3">
        <f t="shared" si="6"/>
        <v>56</v>
      </c>
      <c r="W345" s="3">
        <f t="shared" si="7"/>
        <v>83</v>
      </c>
      <c r="X345" s="3" t="str">
        <f t="shared" si="8"/>
        <v/>
      </c>
      <c r="Y345" s="3" t="str">
        <f t="shared" si="9"/>
        <v/>
      </c>
      <c r="Z345" s="3" t="str">
        <f t="shared" si="10"/>
        <v/>
      </c>
      <c r="AA345" s="3">
        <f t="shared" si="11"/>
        <v>0</v>
      </c>
    </row>
    <row r="346">
      <c r="A346" s="1" t="s">
        <v>3191</v>
      </c>
      <c r="B346" s="2" t="s">
        <v>28</v>
      </c>
      <c r="C346" s="2" t="s">
        <v>3192</v>
      </c>
      <c r="D346" s="2" t="s">
        <v>54</v>
      </c>
      <c r="E346" s="2" t="s">
        <v>3193</v>
      </c>
      <c r="F346" s="2" t="s">
        <v>55</v>
      </c>
      <c r="G346" s="2" t="s">
        <v>3194</v>
      </c>
      <c r="H346" s="2" t="s">
        <v>55</v>
      </c>
      <c r="I346" s="1" t="s">
        <v>112</v>
      </c>
      <c r="J346" s="1" t="s">
        <v>112</v>
      </c>
      <c r="K346" s="1" t="s">
        <v>112</v>
      </c>
      <c r="L346" s="1" t="s">
        <v>112</v>
      </c>
      <c r="M346" s="2" t="s">
        <v>3193</v>
      </c>
      <c r="N346" s="2" t="s">
        <v>55</v>
      </c>
      <c r="O346" s="2" t="s">
        <v>3194</v>
      </c>
      <c r="P346" s="2" t="s">
        <v>55</v>
      </c>
      <c r="Q346" s="3">
        <f t="shared" si="1"/>
        <v>5</v>
      </c>
      <c r="R346" s="3">
        <f t="shared" si="2"/>
        <v>0.007016146</v>
      </c>
      <c r="S346" s="3" t="str">
        <f t="shared" si="3"/>
        <v/>
      </c>
      <c r="T346" s="3">
        <f t="shared" si="4"/>
        <v>0.007016146</v>
      </c>
      <c r="U346" s="3">
        <f t="shared" si="12"/>
        <v>100</v>
      </c>
      <c r="V346" s="3">
        <f t="shared" si="6"/>
        <v>0</v>
      </c>
      <c r="W346" s="3">
        <f t="shared" si="7"/>
        <v>100</v>
      </c>
      <c r="X346" s="3" t="str">
        <f t="shared" si="8"/>
        <v>full access</v>
      </c>
      <c r="Y346" s="3" t="str">
        <f t="shared" si="9"/>
        <v/>
      </c>
      <c r="Z346" s="3" t="str">
        <f t="shared" si="10"/>
        <v>full access</v>
      </c>
      <c r="AA346" s="3">
        <f t="shared" si="11"/>
        <v>-0.007016146</v>
      </c>
    </row>
    <row r="347">
      <c r="A347" s="1" t="s">
        <v>3191</v>
      </c>
      <c r="B347" s="2" t="s">
        <v>43</v>
      </c>
      <c r="C347" s="2" t="s">
        <v>3195</v>
      </c>
      <c r="D347" s="2" t="s">
        <v>54</v>
      </c>
      <c r="E347" s="2" t="s">
        <v>54</v>
      </c>
      <c r="F347" s="2" t="s">
        <v>55</v>
      </c>
      <c r="G347" s="2" t="s">
        <v>55</v>
      </c>
      <c r="H347" s="2" t="s">
        <v>55</v>
      </c>
      <c r="I347" s="1" t="s">
        <v>112</v>
      </c>
      <c r="J347" s="1" t="s">
        <v>112</v>
      </c>
      <c r="K347" s="1" t="s">
        <v>112</v>
      </c>
      <c r="L347" s="1" t="s">
        <v>112</v>
      </c>
      <c r="M347" s="2" t="s">
        <v>54</v>
      </c>
      <c r="N347" s="2" t="s">
        <v>55</v>
      </c>
      <c r="O347" s="2" t="s">
        <v>55</v>
      </c>
      <c r="P347" s="2" t="s">
        <v>55</v>
      </c>
      <c r="Q347" s="3" t="str">
        <f t="shared" si="1"/>
        <v/>
      </c>
      <c r="R347" s="3" t="str">
        <f t="shared" si="2"/>
        <v/>
      </c>
      <c r="S347" s="3" t="str">
        <f t="shared" si="3"/>
        <v/>
      </c>
      <c r="T347" s="3" t="str">
        <f t="shared" si="4"/>
        <v/>
      </c>
      <c r="U347" s="3">
        <f t="shared" si="12"/>
        <v>100</v>
      </c>
      <c r="V347" s="3">
        <f t="shared" si="6"/>
        <v>0</v>
      </c>
      <c r="W347" s="3">
        <f t="shared" si="7"/>
        <v>100</v>
      </c>
      <c r="X347" s="3" t="str">
        <f t="shared" si="8"/>
        <v/>
      </c>
      <c r="Y347" s="3" t="str">
        <f t="shared" si="9"/>
        <v/>
      </c>
      <c r="Z347" s="3" t="str">
        <f t="shared" si="10"/>
        <v/>
      </c>
      <c r="AA347" s="3">
        <f t="shared" si="11"/>
        <v>0</v>
      </c>
    </row>
    <row r="348">
      <c r="A348" s="1" t="s">
        <v>3196</v>
      </c>
      <c r="B348" s="2" t="s">
        <v>28</v>
      </c>
      <c r="C348" s="2" t="s">
        <v>3197</v>
      </c>
      <c r="D348" s="2" t="s">
        <v>3198</v>
      </c>
      <c r="E348" s="2" t="s">
        <v>3199</v>
      </c>
      <c r="F348" s="2" t="s">
        <v>55</v>
      </c>
      <c r="G348" s="2" t="s">
        <v>3200</v>
      </c>
      <c r="H348" s="2" t="s">
        <v>55</v>
      </c>
      <c r="I348" s="1" t="s">
        <v>112</v>
      </c>
      <c r="J348" s="1" t="s">
        <v>112</v>
      </c>
      <c r="K348" s="1" t="s">
        <v>112</v>
      </c>
      <c r="L348" s="1" t="s">
        <v>112</v>
      </c>
      <c r="M348" s="1" t="s">
        <v>112</v>
      </c>
      <c r="N348" s="1" t="s">
        <v>112</v>
      </c>
      <c r="O348" s="1" t="s">
        <v>112</v>
      </c>
      <c r="P348" s="1" t="s">
        <v>112</v>
      </c>
      <c r="Q348" s="3">
        <f t="shared" si="1"/>
        <v>5</v>
      </c>
      <c r="R348" s="3">
        <f t="shared" si="2"/>
        <v>0.03</v>
      </c>
      <c r="S348" s="3" t="str">
        <f t="shared" si="3"/>
        <v/>
      </c>
      <c r="T348" s="3" t="str">
        <f t="shared" si="4"/>
        <v/>
      </c>
      <c r="U348" s="3">
        <f t="shared" si="12"/>
        <v>99</v>
      </c>
      <c r="V348" s="3">
        <f t="shared" si="6"/>
        <v>0</v>
      </c>
      <c r="W348" s="3">
        <f t="shared" si="7"/>
        <v>0</v>
      </c>
      <c r="X348" s="3" t="str">
        <f t="shared" si="8"/>
        <v/>
      </c>
      <c r="Y348" s="3" t="str">
        <f t="shared" si="9"/>
        <v/>
      </c>
      <c r="Z348" s="3" t="str">
        <f t="shared" si="10"/>
        <v/>
      </c>
      <c r="AA348" s="3">
        <f t="shared" si="11"/>
        <v>0</v>
      </c>
    </row>
    <row r="349">
      <c r="A349" s="1" t="s">
        <v>3196</v>
      </c>
      <c r="B349" s="2" t="s">
        <v>43</v>
      </c>
      <c r="C349" s="2" t="s">
        <v>3201</v>
      </c>
      <c r="D349" s="2" t="s">
        <v>3202</v>
      </c>
      <c r="E349" s="2" t="s">
        <v>3203</v>
      </c>
      <c r="F349" s="2" t="s">
        <v>55</v>
      </c>
      <c r="G349" s="2" t="s">
        <v>3204</v>
      </c>
      <c r="H349" s="2" t="s">
        <v>55</v>
      </c>
      <c r="I349" s="1" t="s">
        <v>112</v>
      </c>
      <c r="J349" s="1" t="s">
        <v>112</v>
      </c>
      <c r="K349" s="1" t="s">
        <v>112</v>
      </c>
      <c r="L349" s="1" t="s">
        <v>112</v>
      </c>
      <c r="M349" s="1" t="s">
        <v>112</v>
      </c>
      <c r="N349" s="1" t="s">
        <v>112</v>
      </c>
      <c r="O349" s="1" t="s">
        <v>112</v>
      </c>
      <c r="P349" s="1" t="s">
        <v>112</v>
      </c>
      <c r="Q349" s="3" t="str">
        <f t="shared" si="1"/>
        <v/>
      </c>
      <c r="R349" s="3" t="str">
        <f t="shared" si="2"/>
        <v/>
      </c>
      <c r="S349" s="3" t="str">
        <f t="shared" si="3"/>
        <v/>
      </c>
      <c r="T349" s="3" t="str">
        <f t="shared" si="4"/>
        <v/>
      </c>
      <c r="U349" s="3">
        <f t="shared" si="12"/>
        <v>99</v>
      </c>
      <c r="V349" s="3">
        <f t="shared" si="6"/>
        <v>0</v>
      </c>
      <c r="W349" s="3">
        <f t="shared" si="7"/>
        <v>0</v>
      </c>
      <c r="X349" s="3" t="str">
        <f t="shared" si="8"/>
        <v/>
      </c>
      <c r="Y349" s="3" t="str">
        <f t="shared" si="9"/>
        <v/>
      </c>
      <c r="Z349" s="3" t="str">
        <f t="shared" si="10"/>
        <v/>
      </c>
      <c r="AA349" s="3">
        <f t="shared" si="11"/>
        <v>0</v>
      </c>
    </row>
    <row r="350">
      <c r="A350" s="1" t="s">
        <v>3205</v>
      </c>
      <c r="B350" s="2" t="s">
        <v>28</v>
      </c>
      <c r="C350" s="2" t="s">
        <v>3206</v>
      </c>
      <c r="D350" s="2" t="s">
        <v>3207</v>
      </c>
      <c r="E350" s="2" t="s">
        <v>3208</v>
      </c>
      <c r="F350" s="2" t="s">
        <v>55</v>
      </c>
      <c r="G350" s="2" t="s">
        <v>3209</v>
      </c>
      <c r="H350" s="2" t="s">
        <v>55</v>
      </c>
      <c r="I350" s="1" t="s">
        <v>112</v>
      </c>
      <c r="J350" s="1" t="s">
        <v>112</v>
      </c>
      <c r="K350" s="1" t="s">
        <v>112</v>
      </c>
      <c r="L350" s="1" t="s">
        <v>112</v>
      </c>
      <c r="M350" s="1" t="s">
        <v>112</v>
      </c>
      <c r="N350" s="1" t="s">
        <v>112</v>
      </c>
      <c r="O350" s="1" t="s">
        <v>112</v>
      </c>
      <c r="P350" s="1" t="s">
        <v>112</v>
      </c>
      <c r="Q350" s="3">
        <f t="shared" si="1"/>
        <v>2</v>
      </c>
      <c r="R350" s="3">
        <f t="shared" si="2"/>
        <v>0</v>
      </c>
      <c r="S350" s="3" t="str">
        <f t="shared" si="3"/>
        <v/>
      </c>
      <c r="T350" s="3" t="str">
        <f t="shared" si="4"/>
        <v/>
      </c>
      <c r="U350" s="3">
        <f t="shared" si="12"/>
        <v>99</v>
      </c>
      <c r="V350" s="3">
        <f t="shared" si="6"/>
        <v>0</v>
      </c>
      <c r="W350" s="3">
        <f t="shared" si="7"/>
        <v>0</v>
      </c>
      <c r="X350" s="3" t="str">
        <f t="shared" si="8"/>
        <v/>
      </c>
      <c r="Y350" s="3" t="str">
        <f t="shared" si="9"/>
        <v/>
      </c>
      <c r="Z350" s="3" t="str">
        <f t="shared" si="10"/>
        <v/>
      </c>
      <c r="AA350" s="3">
        <f t="shared" si="11"/>
        <v>0</v>
      </c>
    </row>
    <row r="351">
      <c r="A351" s="1" t="s">
        <v>3205</v>
      </c>
      <c r="B351" s="2" t="s">
        <v>158</v>
      </c>
      <c r="C351" s="2" t="s">
        <v>3210</v>
      </c>
      <c r="D351" s="2" t="s">
        <v>3211</v>
      </c>
      <c r="E351" s="2" t="s">
        <v>3208</v>
      </c>
      <c r="F351" s="2" t="s">
        <v>55</v>
      </c>
      <c r="G351" s="2" t="s">
        <v>3209</v>
      </c>
      <c r="H351" s="2" t="s">
        <v>55</v>
      </c>
      <c r="I351" s="1" t="s">
        <v>112</v>
      </c>
      <c r="J351" s="1" t="s">
        <v>112</v>
      </c>
      <c r="K351" s="1" t="s">
        <v>112</v>
      </c>
      <c r="L351" s="1" t="s">
        <v>112</v>
      </c>
      <c r="M351" s="1" t="s">
        <v>112</v>
      </c>
      <c r="N351" s="1" t="s">
        <v>112</v>
      </c>
      <c r="O351" s="1" t="s">
        <v>112</v>
      </c>
      <c r="P351" s="1" t="s">
        <v>112</v>
      </c>
      <c r="Q351" s="3" t="str">
        <f t="shared" si="1"/>
        <v/>
      </c>
      <c r="R351" s="3" t="str">
        <f t="shared" si="2"/>
        <v/>
      </c>
      <c r="S351" s="3" t="str">
        <f t="shared" si="3"/>
        <v/>
      </c>
      <c r="T351" s="3" t="str">
        <f t="shared" si="4"/>
        <v/>
      </c>
      <c r="U351" s="3">
        <f t="shared" si="12"/>
        <v>99</v>
      </c>
      <c r="V351" s="3">
        <f t="shared" si="6"/>
        <v>0</v>
      </c>
      <c r="W351" s="3">
        <f t="shared" si="7"/>
        <v>0</v>
      </c>
      <c r="X351" s="3" t="str">
        <f t="shared" si="8"/>
        <v/>
      </c>
      <c r="Y351" s="3" t="str">
        <f t="shared" si="9"/>
        <v/>
      </c>
      <c r="Z351" s="3" t="str">
        <f t="shared" si="10"/>
        <v/>
      </c>
      <c r="AA351" s="3">
        <f t="shared" si="11"/>
        <v>0</v>
      </c>
    </row>
    <row r="352">
      <c r="A352" s="1" t="s">
        <v>3212</v>
      </c>
      <c r="B352" s="2" t="s">
        <v>28</v>
      </c>
      <c r="C352" s="2" t="s">
        <v>3213</v>
      </c>
      <c r="D352" s="2" t="s">
        <v>3214</v>
      </c>
      <c r="E352" s="2" t="s">
        <v>3215</v>
      </c>
      <c r="F352" s="2" t="s">
        <v>3216</v>
      </c>
      <c r="G352" s="2" t="s">
        <v>3217</v>
      </c>
      <c r="H352" s="2" t="s">
        <v>55</v>
      </c>
      <c r="I352" s="2" t="s">
        <v>3218</v>
      </c>
      <c r="J352" s="2" t="s">
        <v>3219</v>
      </c>
      <c r="K352" s="2" t="s">
        <v>3220</v>
      </c>
      <c r="L352" s="2" t="s">
        <v>55</v>
      </c>
      <c r="M352" s="2" t="s">
        <v>3221</v>
      </c>
      <c r="N352" s="2" t="s">
        <v>3222</v>
      </c>
      <c r="O352" s="2" t="s">
        <v>3223</v>
      </c>
      <c r="P352" s="2" t="s">
        <v>55</v>
      </c>
      <c r="Q352" s="3">
        <f t="shared" si="1"/>
        <v>5</v>
      </c>
      <c r="R352" s="3">
        <f t="shared" si="2"/>
        <v>0.263950058</v>
      </c>
      <c r="S352" s="3">
        <f t="shared" si="3"/>
        <v>0.300352518</v>
      </c>
      <c r="T352" s="3">
        <f t="shared" si="4"/>
        <v>0.102357802</v>
      </c>
      <c r="U352" s="3">
        <f t="shared" si="12"/>
        <v>96</v>
      </c>
      <c r="V352" s="3">
        <f t="shared" si="6"/>
        <v>95</v>
      </c>
      <c r="W352" s="3">
        <f t="shared" si="7"/>
        <v>97</v>
      </c>
      <c r="X352" s="3" t="str">
        <f t="shared" si="8"/>
        <v/>
      </c>
      <c r="Y352" s="3" t="str">
        <f t="shared" si="9"/>
        <v/>
      </c>
      <c r="Z352" s="3" t="str">
        <f t="shared" si="10"/>
        <v/>
      </c>
      <c r="AA352" s="3">
        <f t="shared" si="11"/>
        <v>0.197994716</v>
      </c>
    </row>
    <row r="353">
      <c r="A353" s="1" t="s">
        <v>3212</v>
      </c>
      <c r="B353" s="2" t="s">
        <v>43</v>
      </c>
      <c r="C353" s="2" t="s">
        <v>3224</v>
      </c>
      <c r="D353" s="2" t="s">
        <v>3225</v>
      </c>
      <c r="E353" s="2" t="s">
        <v>3226</v>
      </c>
      <c r="F353" s="2" t="s">
        <v>3227</v>
      </c>
      <c r="G353" s="2" t="s">
        <v>3228</v>
      </c>
      <c r="H353" s="2" t="s">
        <v>55</v>
      </c>
      <c r="I353" s="2" t="s">
        <v>3229</v>
      </c>
      <c r="J353" s="2" t="s">
        <v>3230</v>
      </c>
      <c r="K353" s="2" t="s">
        <v>3231</v>
      </c>
      <c r="L353" s="2" t="s">
        <v>55</v>
      </c>
      <c r="M353" s="2" t="s">
        <v>3232</v>
      </c>
      <c r="N353" s="2" t="s">
        <v>3233</v>
      </c>
      <c r="O353" s="2" t="s">
        <v>3234</v>
      </c>
      <c r="P353" s="2" t="s">
        <v>55</v>
      </c>
      <c r="Q353" s="3" t="str">
        <f t="shared" si="1"/>
        <v/>
      </c>
      <c r="R353" s="3" t="str">
        <f t="shared" si="2"/>
        <v/>
      </c>
      <c r="S353" s="3" t="str">
        <f t="shared" si="3"/>
        <v/>
      </c>
      <c r="T353" s="3" t="str">
        <f t="shared" si="4"/>
        <v/>
      </c>
      <c r="U353" s="3">
        <f t="shared" si="12"/>
        <v>97</v>
      </c>
      <c r="V353" s="3">
        <f t="shared" si="6"/>
        <v>97</v>
      </c>
      <c r="W353" s="3">
        <f t="shared" si="7"/>
        <v>97</v>
      </c>
      <c r="X353" s="3" t="str">
        <f t="shared" si="8"/>
        <v/>
      </c>
      <c r="Y353" s="3" t="str">
        <f t="shared" si="9"/>
        <v/>
      </c>
      <c r="Z353" s="3" t="str">
        <f t="shared" si="10"/>
        <v/>
      </c>
      <c r="AA353" s="3">
        <f t="shared" si="11"/>
        <v>0</v>
      </c>
    </row>
    <row r="354">
      <c r="A354" s="1" t="s">
        <v>3235</v>
      </c>
      <c r="B354" s="2" t="s">
        <v>28</v>
      </c>
      <c r="C354" s="2" t="s">
        <v>3236</v>
      </c>
      <c r="D354" s="2" t="s">
        <v>54</v>
      </c>
      <c r="E354" s="2" t="s">
        <v>3237</v>
      </c>
      <c r="F354" s="2" t="s">
        <v>55</v>
      </c>
      <c r="G354" s="2" t="s">
        <v>3238</v>
      </c>
      <c r="H354" s="2" t="s">
        <v>55</v>
      </c>
      <c r="I354" s="1" t="s">
        <v>112</v>
      </c>
      <c r="J354" s="1" t="s">
        <v>112</v>
      </c>
      <c r="K354" s="1" t="s">
        <v>112</v>
      </c>
      <c r="L354" s="1" t="s">
        <v>112</v>
      </c>
      <c r="M354" s="2" t="s">
        <v>3237</v>
      </c>
      <c r="N354" s="2" t="s">
        <v>55</v>
      </c>
      <c r="O354" s="2" t="s">
        <v>3238</v>
      </c>
      <c r="P354" s="2" t="s">
        <v>55</v>
      </c>
      <c r="Q354" s="3">
        <f t="shared" si="1"/>
        <v>5</v>
      </c>
      <c r="R354" s="3">
        <f t="shared" si="2"/>
        <v>-0.000100562</v>
      </c>
      <c r="S354" s="3" t="str">
        <f t="shared" si="3"/>
        <v/>
      </c>
      <c r="T354" s="3">
        <f t="shared" si="4"/>
        <v>-0.000100562</v>
      </c>
      <c r="U354" s="3">
        <f t="shared" si="12"/>
        <v>100</v>
      </c>
      <c r="V354" s="3">
        <f t="shared" si="6"/>
        <v>0</v>
      </c>
      <c r="W354" s="3">
        <f t="shared" si="7"/>
        <v>100</v>
      </c>
      <c r="X354" s="3" t="str">
        <f t="shared" si="8"/>
        <v>full access</v>
      </c>
      <c r="Y354" s="3" t="str">
        <f t="shared" si="9"/>
        <v/>
      </c>
      <c r="Z354" s="3" t="str">
        <f t="shared" si="10"/>
        <v>full access</v>
      </c>
      <c r="AA354" s="3">
        <f t="shared" si="11"/>
        <v>0.000100562</v>
      </c>
    </row>
    <row r="355">
      <c r="A355" s="1" t="s">
        <v>3235</v>
      </c>
      <c r="B355" s="2" t="s">
        <v>43</v>
      </c>
      <c r="C355" s="2" t="s">
        <v>3239</v>
      </c>
      <c r="D355" s="2" t="s">
        <v>54</v>
      </c>
      <c r="E355" s="2" t="s">
        <v>3240</v>
      </c>
      <c r="F355" s="2" t="s">
        <v>55</v>
      </c>
      <c r="G355" s="2" t="s">
        <v>3241</v>
      </c>
      <c r="H355" s="2" t="s">
        <v>55</v>
      </c>
      <c r="I355" s="1" t="s">
        <v>112</v>
      </c>
      <c r="J355" s="1" t="s">
        <v>112</v>
      </c>
      <c r="K355" s="1" t="s">
        <v>112</v>
      </c>
      <c r="L355" s="1" t="s">
        <v>112</v>
      </c>
      <c r="M355" s="2" t="s">
        <v>3240</v>
      </c>
      <c r="N355" s="2" t="s">
        <v>55</v>
      </c>
      <c r="O355" s="2" t="s">
        <v>3241</v>
      </c>
      <c r="P355" s="2" t="s">
        <v>55</v>
      </c>
      <c r="Q355" s="3" t="str">
        <f t="shared" si="1"/>
        <v/>
      </c>
      <c r="R355" s="3" t="str">
        <f t="shared" si="2"/>
        <v/>
      </c>
      <c r="S355" s="3" t="str">
        <f t="shared" si="3"/>
        <v/>
      </c>
      <c r="T355" s="3" t="str">
        <f t="shared" si="4"/>
        <v/>
      </c>
      <c r="U355" s="3">
        <f t="shared" si="12"/>
        <v>100</v>
      </c>
      <c r="V355" s="3">
        <f t="shared" si="6"/>
        <v>0</v>
      </c>
      <c r="W355" s="3">
        <f t="shared" si="7"/>
        <v>100</v>
      </c>
      <c r="X355" s="3" t="str">
        <f t="shared" si="8"/>
        <v/>
      </c>
      <c r="Y355" s="3" t="str">
        <f t="shared" si="9"/>
        <v/>
      </c>
      <c r="Z355" s="3" t="str">
        <f t="shared" si="10"/>
        <v/>
      </c>
      <c r="AA355" s="3">
        <f t="shared" si="11"/>
        <v>0</v>
      </c>
    </row>
    <row r="356">
      <c r="A356" s="1" t="s">
        <v>3242</v>
      </c>
      <c r="B356" s="2" t="s">
        <v>28</v>
      </c>
      <c r="C356" s="2" t="s">
        <v>3243</v>
      </c>
      <c r="D356" s="2" t="s">
        <v>3244</v>
      </c>
      <c r="E356" s="2" t="s">
        <v>3245</v>
      </c>
      <c r="F356" s="2" t="s">
        <v>55</v>
      </c>
      <c r="G356" s="2" t="s">
        <v>3246</v>
      </c>
      <c r="H356" s="2" t="s">
        <v>55</v>
      </c>
      <c r="I356" s="1" t="s">
        <v>112</v>
      </c>
      <c r="J356" s="1" t="s">
        <v>112</v>
      </c>
      <c r="K356" s="1" t="s">
        <v>112</v>
      </c>
      <c r="L356" s="1" t="s">
        <v>112</v>
      </c>
      <c r="M356" s="1" t="s">
        <v>112</v>
      </c>
      <c r="N356" s="1" t="s">
        <v>112</v>
      </c>
      <c r="O356" s="1" t="s">
        <v>112</v>
      </c>
      <c r="P356" s="1" t="s">
        <v>112</v>
      </c>
      <c r="Q356" s="3">
        <f t="shared" si="1"/>
        <v>5</v>
      </c>
      <c r="R356" s="3">
        <f t="shared" si="2"/>
        <v>0</v>
      </c>
      <c r="S356" s="3" t="str">
        <f t="shared" si="3"/>
        <v/>
      </c>
      <c r="T356" s="3" t="str">
        <f t="shared" si="4"/>
        <v/>
      </c>
      <c r="U356" s="3">
        <f t="shared" si="12"/>
        <v>91</v>
      </c>
      <c r="V356" s="3">
        <f t="shared" si="6"/>
        <v>0</v>
      </c>
      <c r="W356" s="3">
        <f t="shared" si="7"/>
        <v>0</v>
      </c>
      <c r="X356" s="3" t="str">
        <f t="shared" si="8"/>
        <v/>
      </c>
      <c r="Y356" s="3" t="str">
        <f t="shared" si="9"/>
        <v/>
      </c>
      <c r="Z356" s="3" t="str">
        <f t="shared" si="10"/>
        <v/>
      </c>
      <c r="AA356" s="3">
        <f t="shared" si="11"/>
        <v>0</v>
      </c>
    </row>
    <row r="357">
      <c r="A357" s="1" t="s">
        <v>3242</v>
      </c>
      <c r="B357" s="2" t="s">
        <v>43</v>
      </c>
      <c r="C357" s="2" t="s">
        <v>3247</v>
      </c>
      <c r="D357" s="2" t="s">
        <v>3248</v>
      </c>
      <c r="E357" s="2" t="s">
        <v>3245</v>
      </c>
      <c r="F357" s="2" t="s">
        <v>55</v>
      </c>
      <c r="G357" s="2" t="s">
        <v>3246</v>
      </c>
      <c r="H357" s="2" t="s">
        <v>55</v>
      </c>
      <c r="I357" s="1" t="s">
        <v>112</v>
      </c>
      <c r="J357" s="1" t="s">
        <v>112</v>
      </c>
      <c r="K357" s="1" t="s">
        <v>112</v>
      </c>
      <c r="L357" s="1" t="s">
        <v>112</v>
      </c>
      <c r="M357" s="1" t="s">
        <v>112</v>
      </c>
      <c r="N357" s="1" t="s">
        <v>112</v>
      </c>
      <c r="O357" s="1" t="s">
        <v>112</v>
      </c>
      <c r="P357" s="1" t="s">
        <v>112</v>
      </c>
      <c r="Q357" s="3" t="str">
        <f t="shared" si="1"/>
        <v/>
      </c>
      <c r="R357" s="3" t="str">
        <f t="shared" si="2"/>
        <v/>
      </c>
      <c r="S357" s="3" t="str">
        <f t="shared" si="3"/>
        <v/>
      </c>
      <c r="T357" s="3" t="str">
        <f t="shared" si="4"/>
        <v/>
      </c>
      <c r="U357" s="3">
        <f t="shared" si="12"/>
        <v>91</v>
      </c>
      <c r="V357" s="3">
        <f t="shared" si="6"/>
        <v>0</v>
      </c>
      <c r="W357" s="3">
        <f t="shared" si="7"/>
        <v>0</v>
      </c>
      <c r="X357" s="3" t="str">
        <f t="shared" si="8"/>
        <v/>
      </c>
      <c r="Y357" s="3" t="str">
        <f t="shared" si="9"/>
        <v/>
      </c>
      <c r="Z357" s="3" t="str">
        <f t="shared" si="10"/>
        <v/>
      </c>
      <c r="AA357" s="3">
        <f t="shared" si="11"/>
        <v>0</v>
      </c>
    </row>
    <row r="358">
      <c r="A358" s="1" t="s">
        <v>3249</v>
      </c>
      <c r="B358" s="2" t="s">
        <v>28</v>
      </c>
      <c r="C358" s="2" t="s">
        <v>3250</v>
      </c>
      <c r="D358" s="2" t="s">
        <v>3251</v>
      </c>
      <c r="E358" s="2" t="s">
        <v>3252</v>
      </c>
      <c r="F358" s="2" t="s">
        <v>55</v>
      </c>
      <c r="G358" s="2" t="s">
        <v>3253</v>
      </c>
      <c r="H358" s="2" t="s">
        <v>3254</v>
      </c>
      <c r="I358" s="1" t="s">
        <v>112</v>
      </c>
      <c r="J358" s="1" t="s">
        <v>112</v>
      </c>
      <c r="K358" s="1" t="s">
        <v>112</v>
      </c>
      <c r="L358" s="1" t="s">
        <v>112</v>
      </c>
      <c r="M358" s="1" t="s">
        <v>112</v>
      </c>
      <c r="N358" s="1" t="s">
        <v>112</v>
      </c>
      <c r="O358" s="1" t="s">
        <v>112</v>
      </c>
      <c r="P358" s="1" t="s">
        <v>112</v>
      </c>
      <c r="Q358" s="3">
        <f t="shared" si="1"/>
        <v>3</v>
      </c>
      <c r="R358" s="3">
        <f t="shared" si="2"/>
        <v>0</v>
      </c>
      <c r="S358" s="3" t="str">
        <f t="shared" si="3"/>
        <v/>
      </c>
      <c r="T358" s="3" t="str">
        <f t="shared" si="4"/>
        <v/>
      </c>
      <c r="U358" s="3">
        <f t="shared" si="12"/>
        <v>95</v>
      </c>
      <c r="V358" s="3">
        <f t="shared" si="6"/>
        <v>0</v>
      </c>
      <c r="W358" s="3">
        <f t="shared" si="7"/>
        <v>0</v>
      </c>
      <c r="X358" s="3" t="str">
        <f t="shared" si="8"/>
        <v/>
      </c>
      <c r="Y358" s="3" t="str">
        <f t="shared" si="9"/>
        <v/>
      </c>
      <c r="Z358" s="3" t="str">
        <f t="shared" si="10"/>
        <v/>
      </c>
      <c r="AA358" s="3">
        <f t="shared" si="11"/>
        <v>0</v>
      </c>
    </row>
    <row r="359">
      <c r="A359" s="1" t="s">
        <v>3249</v>
      </c>
      <c r="B359" s="2" t="s">
        <v>3255</v>
      </c>
      <c r="C359" s="2" t="s">
        <v>3256</v>
      </c>
      <c r="D359" s="2" t="s">
        <v>3257</v>
      </c>
      <c r="E359" s="2" t="s">
        <v>3252</v>
      </c>
      <c r="F359" s="2" t="s">
        <v>55</v>
      </c>
      <c r="G359" s="2" t="s">
        <v>3258</v>
      </c>
      <c r="H359" s="1" t="s">
        <v>112</v>
      </c>
      <c r="I359" s="1" t="s">
        <v>112</v>
      </c>
      <c r="J359" s="1" t="s">
        <v>112</v>
      </c>
      <c r="K359" s="1" t="s">
        <v>112</v>
      </c>
      <c r="L359" s="1" t="s">
        <v>112</v>
      </c>
      <c r="M359" s="1" t="s">
        <v>112</v>
      </c>
      <c r="N359" s="1" t="s">
        <v>112</v>
      </c>
      <c r="O359" s="1" t="s">
        <v>112</v>
      </c>
      <c r="P359" s="1" t="s">
        <v>112</v>
      </c>
      <c r="Q359" s="3" t="str">
        <f t="shared" si="1"/>
        <v/>
      </c>
      <c r="R359" s="3" t="str">
        <f t="shared" si="2"/>
        <v/>
      </c>
      <c r="S359" s="3" t="str">
        <f t="shared" si="3"/>
        <v/>
      </c>
      <c r="T359" s="3" t="str">
        <f t="shared" si="4"/>
        <v/>
      </c>
      <c r="U359" s="3">
        <f t="shared" si="12"/>
        <v>95</v>
      </c>
      <c r="V359" s="3">
        <f t="shared" si="6"/>
        <v>0</v>
      </c>
      <c r="W359" s="3">
        <f t="shared" si="7"/>
        <v>0</v>
      </c>
      <c r="X359" s="3" t="str">
        <f t="shared" si="8"/>
        <v/>
      </c>
      <c r="Y359" s="3" t="str">
        <f t="shared" si="9"/>
        <v/>
      </c>
      <c r="Z359" s="3" t="str">
        <f t="shared" si="10"/>
        <v/>
      </c>
      <c r="AA359" s="3">
        <f t="shared" si="11"/>
        <v>0</v>
      </c>
    </row>
    <row r="360">
      <c r="A360" s="1" t="s">
        <v>3259</v>
      </c>
      <c r="B360" s="2" t="s">
        <v>28</v>
      </c>
      <c r="C360" s="2" t="s">
        <v>3260</v>
      </c>
      <c r="D360" s="2" t="s">
        <v>3261</v>
      </c>
      <c r="E360" s="2" t="s">
        <v>3262</v>
      </c>
      <c r="F360" s="2" t="s">
        <v>3263</v>
      </c>
      <c r="G360" s="2" t="s">
        <v>3264</v>
      </c>
      <c r="H360" s="2" t="s">
        <v>3265</v>
      </c>
      <c r="I360" s="2" t="s">
        <v>3266</v>
      </c>
      <c r="J360" s="2" t="s">
        <v>3267</v>
      </c>
      <c r="K360" s="2" t="s">
        <v>3268</v>
      </c>
      <c r="L360" s="2" t="s">
        <v>3269</v>
      </c>
      <c r="M360" s="2" t="s">
        <v>3270</v>
      </c>
      <c r="N360" s="2" t="s">
        <v>3271</v>
      </c>
      <c r="O360" s="2" t="s">
        <v>3272</v>
      </c>
      <c r="P360" s="2" t="s">
        <v>3273</v>
      </c>
      <c r="Q360" s="3">
        <f t="shared" si="1"/>
        <v>5</v>
      </c>
      <c r="R360" s="3">
        <f t="shared" si="2"/>
        <v>0.103265438</v>
      </c>
      <c r="S360" s="3">
        <f t="shared" si="3"/>
        <v>0.078781444</v>
      </c>
      <c r="T360" s="3">
        <f t="shared" si="4"/>
        <v>0.211708264</v>
      </c>
      <c r="U360" s="3">
        <f t="shared" si="12"/>
        <v>91</v>
      </c>
      <c r="V360" s="3">
        <f t="shared" si="6"/>
        <v>91</v>
      </c>
      <c r="W360" s="3">
        <f t="shared" si="7"/>
        <v>91</v>
      </c>
      <c r="X360" s="3" t="str">
        <f t="shared" si="8"/>
        <v/>
      </c>
      <c r="Y360" s="3" t="str">
        <f t="shared" si="9"/>
        <v/>
      </c>
      <c r="Z360" s="3" t="str">
        <f t="shared" si="10"/>
        <v/>
      </c>
      <c r="AA360" s="3">
        <f t="shared" si="11"/>
        <v>-0.13292682</v>
      </c>
    </row>
    <row r="361">
      <c r="A361" s="1" t="s">
        <v>3259</v>
      </c>
      <c r="B361" s="2" t="s">
        <v>43</v>
      </c>
      <c r="C361" s="2" t="s">
        <v>3274</v>
      </c>
      <c r="D361" s="2" t="s">
        <v>3275</v>
      </c>
      <c r="E361" s="2" t="s">
        <v>3276</v>
      </c>
      <c r="F361" s="2" t="s">
        <v>3277</v>
      </c>
      <c r="G361" s="2" t="s">
        <v>3278</v>
      </c>
      <c r="H361" s="2" t="s">
        <v>3279</v>
      </c>
      <c r="I361" s="2" t="s">
        <v>3280</v>
      </c>
      <c r="J361" s="2" t="s">
        <v>3281</v>
      </c>
      <c r="K361" s="2" t="s">
        <v>3282</v>
      </c>
      <c r="L361" s="2" t="s">
        <v>3283</v>
      </c>
      <c r="M361" s="2" t="s">
        <v>3284</v>
      </c>
      <c r="N361" s="2" t="s">
        <v>3285</v>
      </c>
      <c r="O361" s="2" t="s">
        <v>55</v>
      </c>
      <c r="P361" s="2" t="s">
        <v>55</v>
      </c>
      <c r="Q361" s="3" t="str">
        <f t="shared" si="1"/>
        <v/>
      </c>
      <c r="R361" s="3" t="str">
        <f t="shared" si="2"/>
        <v/>
      </c>
      <c r="S361" s="3" t="str">
        <f t="shared" si="3"/>
        <v/>
      </c>
      <c r="T361" s="3" t="str">
        <f t="shared" si="4"/>
        <v/>
      </c>
      <c r="U361" s="3">
        <f t="shared" si="12"/>
        <v>92</v>
      </c>
      <c r="V361" s="3">
        <f t="shared" si="6"/>
        <v>92</v>
      </c>
      <c r="W361" s="3">
        <f t="shared" si="7"/>
        <v>92</v>
      </c>
      <c r="X361" s="3" t="str">
        <f t="shared" si="8"/>
        <v/>
      </c>
      <c r="Y361" s="3" t="str">
        <f t="shared" si="9"/>
        <v/>
      </c>
      <c r="Z361" s="3" t="str">
        <f t="shared" si="10"/>
        <v/>
      </c>
      <c r="AA361" s="3">
        <f t="shared" si="11"/>
        <v>0</v>
      </c>
    </row>
    <row r="362">
      <c r="A362" s="1" t="s">
        <v>3286</v>
      </c>
      <c r="B362" s="2" t="s">
        <v>28</v>
      </c>
      <c r="C362" s="2" t="s">
        <v>3287</v>
      </c>
      <c r="D362" s="2" t="s">
        <v>3288</v>
      </c>
      <c r="E362" s="2" t="s">
        <v>54</v>
      </c>
      <c r="F362" s="2" t="s">
        <v>55</v>
      </c>
      <c r="G362" s="2" t="s">
        <v>55</v>
      </c>
      <c r="H362" s="2" t="s">
        <v>55</v>
      </c>
      <c r="I362" s="1" t="s">
        <v>112</v>
      </c>
      <c r="J362" s="1" t="s">
        <v>112</v>
      </c>
      <c r="K362" s="1" t="s">
        <v>112</v>
      </c>
      <c r="L362" s="1" t="s">
        <v>112</v>
      </c>
      <c r="M362" s="1" t="s">
        <v>112</v>
      </c>
      <c r="N362" s="1" t="s">
        <v>112</v>
      </c>
      <c r="O362" s="1" t="s">
        <v>112</v>
      </c>
      <c r="P362" s="1" t="s">
        <v>112</v>
      </c>
      <c r="Q362" s="3">
        <f t="shared" si="1"/>
        <v>5</v>
      </c>
      <c r="R362" s="3">
        <f t="shared" si="2"/>
        <v>0</v>
      </c>
      <c r="S362" s="3" t="str">
        <f t="shared" si="3"/>
        <v/>
      </c>
      <c r="T362" s="3" t="str">
        <f t="shared" si="4"/>
        <v/>
      </c>
      <c r="U362" s="3">
        <f t="shared" si="12"/>
        <v>100</v>
      </c>
      <c r="V362" s="3">
        <f t="shared" si="6"/>
        <v>0</v>
      </c>
      <c r="W362" s="3">
        <f t="shared" si="7"/>
        <v>0</v>
      </c>
      <c r="X362" s="3" t="str">
        <f t="shared" si="8"/>
        <v>full access</v>
      </c>
      <c r="Y362" s="3" t="str">
        <f t="shared" si="9"/>
        <v/>
      </c>
      <c r="Z362" s="3" t="str">
        <f t="shared" si="10"/>
        <v/>
      </c>
      <c r="AA362" s="3">
        <f t="shared" si="11"/>
        <v>0</v>
      </c>
    </row>
    <row r="363">
      <c r="A363" s="1" t="s">
        <v>3286</v>
      </c>
      <c r="B363" s="2" t="s">
        <v>43</v>
      </c>
      <c r="C363" s="2" t="s">
        <v>3289</v>
      </c>
      <c r="D363" s="2" t="s">
        <v>3290</v>
      </c>
      <c r="E363" s="2" t="s">
        <v>54</v>
      </c>
      <c r="F363" s="2" t="s">
        <v>55</v>
      </c>
      <c r="G363" s="2" t="s">
        <v>55</v>
      </c>
      <c r="H363" s="2" t="s">
        <v>55</v>
      </c>
      <c r="I363" s="1" t="s">
        <v>112</v>
      </c>
      <c r="J363" s="1" t="s">
        <v>112</v>
      </c>
      <c r="K363" s="1" t="s">
        <v>112</v>
      </c>
      <c r="L363" s="1" t="s">
        <v>112</v>
      </c>
      <c r="M363" s="1" t="s">
        <v>112</v>
      </c>
      <c r="N363" s="1" t="s">
        <v>112</v>
      </c>
      <c r="O363" s="1" t="s">
        <v>112</v>
      </c>
      <c r="P363" s="1" t="s">
        <v>112</v>
      </c>
      <c r="Q363" s="3" t="str">
        <f t="shared" si="1"/>
        <v/>
      </c>
      <c r="R363" s="3" t="str">
        <f t="shared" si="2"/>
        <v/>
      </c>
      <c r="S363" s="3" t="str">
        <f t="shared" si="3"/>
        <v/>
      </c>
      <c r="T363" s="3" t="str">
        <f t="shared" si="4"/>
        <v/>
      </c>
      <c r="U363" s="3">
        <f t="shared" si="12"/>
        <v>100</v>
      </c>
      <c r="V363" s="3">
        <f t="shared" si="6"/>
        <v>0</v>
      </c>
      <c r="W363" s="3">
        <f t="shared" si="7"/>
        <v>0</v>
      </c>
      <c r="X363" s="3" t="str">
        <f t="shared" si="8"/>
        <v/>
      </c>
      <c r="Y363" s="3" t="str">
        <f t="shared" si="9"/>
        <v/>
      </c>
      <c r="Z363" s="3" t="str">
        <f t="shared" si="10"/>
        <v/>
      </c>
      <c r="AA363" s="3">
        <f t="shared" si="11"/>
        <v>0</v>
      </c>
    </row>
    <row r="364">
      <c r="A364" s="1" t="s">
        <v>3291</v>
      </c>
      <c r="B364" s="2" t="s">
        <v>28</v>
      </c>
      <c r="C364" s="2" t="s">
        <v>3292</v>
      </c>
      <c r="D364" s="2" t="s">
        <v>3293</v>
      </c>
      <c r="E364" s="2" t="s">
        <v>3294</v>
      </c>
      <c r="F364" s="2" t="s">
        <v>3295</v>
      </c>
      <c r="G364" s="2" t="s">
        <v>3296</v>
      </c>
      <c r="H364" s="2" t="s">
        <v>3297</v>
      </c>
      <c r="I364" s="2" t="s">
        <v>3298</v>
      </c>
      <c r="J364" s="2" t="s">
        <v>3299</v>
      </c>
      <c r="K364" s="2" t="s">
        <v>3300</v>
      </c>
      <c r="L364" s="2" t="s">
        <v>3301</v>
      </c>
      <c r="M364" s="2" t="s">
        <v>3302</v>
      </c>
      <c r="N364" s="2" t="s">
        <v>3303</v>
      </c>
      <c r="O364" s="2" t="s">
        <v>3304</v>
      </c>
      <c r="P364" s="2" t="s">
        <v>3305</v>
      </c>
      <c r="Q364" s="3">
        <f t="shared" si="1"/>
        <v>5</v>
      </c>
      <c r="R364" s="3">
        <f t="shared" si="2"/>
        <v>0.220445074</v>
      </c>
      <c r="S364" s="3">
        <f t="shared" si="3"/>
        <v>0.60357957</v>
      </c>
      <c r="T364" s="3">
        <f t="shared" si="4"/>
        <v>-0.00529962</v>
      </c>
      <c r="U364" s="3">
        <f t="shared" si="12"/>
        <v>77</v>
      </c>
      <c r="V364" s="3">
        <f t="shared" si="6"/>
        <v>71</v>
      </c>
      <c r="W364" s="3">
        <f t="shared" si="7"/>
        <v>80</v>
      </c>
      <c r="X364" s="3" t="str">
        <f t="shared" si="8"/>
        <v/>
      </c>
      <c r="Y364" s="3" t="str">
        <f t="shared" si="9"/>
        <v/>
      </c>
      <c r="Z364" s="3" t="str">
        <f t="shared" si="10"/>
        <v/>
      </c>
      <c r="AA364" s="3">
        <f t="shared" si="11"/>
        <v>0.60887919</v>
      </c>
    </row>
    <row r="365">
      <c r="A365" s="1" t="s">
        <v>3291</v>
      </c>
      <c r="B365" s="2" t="s">
        <v>43</v>
      </c>
      <c r="C365" s="2" t="s">
        <v>3306</v>
      </c>
      <c r="D365" s="2" t="s">
        <v>3307</v>
      </c>
      <c r="E365" s="2" t="s">
        <v>3308</v>
      </c>
      <c r="F365" s="2" t="s">
        <v>3309</v>
      </c>
      <c r="G365" s="2" t="s">
        <v>3310</v>
      </c>
      <c r="H365" s="2" t="s">
        <v>3311</v>
      </c>
      <c r="I365" s="2" t="s">
        <v>3312</v>
      </c>
      <c r="J365" s="2" t="s">
        <v>3313</v>
      </c>
      <c r="K365" s="2" t="s">
        <v>3314</v>
      </c>
      <c r="L365" s="2" t="s">
        <v>3315</v>
      </c>
      <c r="M365" s="2" t="s">
        <v>3316</v>
      </c>
      <c r="N365" s="2" t="s">
        <v>3317</v>
      </c>
      <c r="O365" s="2" t="s">
        <v>55</v>
      </c>
      <c r="P365" s="2" t="s">
        <v>55</v>
      </c>
      <c r="Q365" s="3" t="str">
        <f t="shared" si="1"/>
        <v/>
      </c>
      <c r="R365" s="3" t="str">
        <f t="shared" si="2"/>
        <v/>
      </c>
      <c r="S365" s="3" t="str">
        <f t="shared" si="3"/>
        <v/>
      </c>
      <c r="T365" s="3" t="str">
        <f t="shared" si="4"/>
        <v/>
      </c>
      <c r="U365" s="3">
        <f t="shared" si="12"/>
        <v>78</v>
      </c>
      <c r="V365" s="3">
        <f t="shared" si="6"/>
        <v>74</v>
      </c>
      <c r="W365" s="3">
        <f t="shared" si="7"/>
        <v>80</v>
      </c>
      <c r="X365" s="3" t="str">
        <f t="shared" si="8"/>
        <v/>
      </c>
      <c r="Y365" s="3" t="str">
        <f t="shared" si="9"/>
        <v/>
      </c>
      <c r="Z365" s="3" t="str">
        <f t="shared" si="10"/>
        <v/>
      </c>
      <c r="AA365" s="3">
        <f t="shared" si="11"/>
        <v>0</v>
      </c>
    </row>
    <row r="366">
      <c r="A366" s="1" t="s">
        <v>3318</v>
      </c>
      <c r="B366" s="2" t="s">
        <v>28</v>
      </c>
      <c r="C366" s="2" t="s">
        <v>3319</v>
      </c>
      <c r="D366" s="2" t="s">
        <v>3320</v>
      </c>
      <c r="E366" s="2" t="s">
        <v>3321</v>
      </c>
      <c r="F366" s="2" t="s">
        <v>55</v>
      </c>
      <c r="G366" s="2" t="s">
        <v>3322</v>
      </c>
      <c r="H366" s="2" t="s">
        <v>55</v>
      </c>
      <c r="I366" s="1" t="s">
        <v>112</v>
      </c>
      <c r="J366" s="1" t="s">
        <v>112</v>
      </c>
      <c r="K366" s="1" t="s">
        <v>112</v>
      </c>
      <c r="L366" s="1" t="s">
        <v>112</v>
      </c>
      <c r="M366" s="1" t="s">
        <v>112</v>
      </c>
      <c r="N366" s="1" t="s">
        <v>112</v>
      </c>
      <c r="O366" s="1" t="s">
        <v>112</v>
      </c>
      <c r="P366" s="1" t="s">
        <v>112</v>
      </c>
      <c r="Q366" s="3">
        <f t="shared" si="1"/>
        <v>5</v>
      </c>
      <c r="R366" s="3">
        <f t="shared" si="2"/>
        <v>0.090394724</v>
      </c>
      <c r="S366" s="3" t="str">
        <f t="shared" si="3"/>
        <v/>
      </c>
      <c r="T366" s="3" t="str">
        <f t="shared" si="4"/>
        <v/>
      </c>
      <c r="U366" s="3">
        <f t="shared" si="12"/>
        <v>100</v>
      </c>
      <c r="V366" s="3">
        <f t="shared" si="6"/>
        <v>0</v>
      </c>
      <c r="W366" s="3">
        <f t="shared" si="7"/>
        <v>0</v>
      </c>
      <c r="X366" s="3" t="str">
        <f t="shared" si="8"/>
        <v>full access</v>
      </c>
      <c r="Y366" s="3" t="str">
        <f t="shared" si="9"/>
        <v/>
      </c>
      <c r="Z366" s="3" t="str">
        <f t="shared" si="10"/>
        <v/>
      </c>
      <c r="AA366" s="3">
        <f t="shared" si="11"/>
        <v>0</v>
      </c>
    </row>
    <row r="367">
      <c r="A367" s="1" t="s">
        <v>3318</v>
      </c>
      <c r="B367" s="2" t="s">
        <v>43</v>
      </c>
      <c r="C367" s="2" t="s">
        <v>3323</v>
      </c>
      <c r="D367" s="2" t="s">
        <v>3324</v>
      </c>
      <c r="E367" s="2" t="s">
        <v>54</v>
      </c>
      <c r="F367" s="2" t="s">
        <v>55</v>
      </c>
      <c r="G367" s="2" t="s">
        <v>55</v>
      </c>
      <c r="H367" s="2" t="s">
        <v>55</v>
      </c>
      <c r="I367" s="1" t="s">
        <v>112</v>
      </c>
      <c r="J367" s="1" t="s">
        <v>112</v>
      </c>
      <c r="K367" s="1" t="s">
        <v>112</v>
      </c>
      <c r="L367" s="1" t="s">
        <v>112</v>
      </c>
      <c r="M367" s="1" t="s">
        <v>112</v>
      </c>
      <c r="N367" s="1" t="s">
        <v>112</v>
      </c>
      <c r="O367" s="1" t="s">
        <v>112</v>
      </c>
      <c r="P367" s="1" t="s">
        <v>112</v>
      </c>
      <c r="Q367" s="3" t="str">
        <f t="shared" si="1"/>
        <v/>
      </c>
      <c r="R367" s="3" t="str">
        <f t="shared" si="2"/>
        <v/>
      </c>
      <c r="S367" s="3" t="str">
        <f t="shared" si="3"/>
        <v/>
      </c>
      <c r="T367" s="3" t="str">
        <f t="shared" si="4"/>
        <v/>
      </c>
      <c r="U367" s="3">
        <f t="shared" si="12"/>
        <v>100</v>
      </c>
      <c r="V367" s="3">
        <f t="shared" si="6"/>
        <v>0</v>
      </c>
      <c r="W367" s="3">
        <f t="shared" si="7"/>
        <v>0</v>
      </c>
      <c r="X367" s="3" t="str">
        <f t="shared" si="8"/>
        <v/>
      </c>
      <c r="Y367" s="3" t="str">
        <f t="shared" si="9"/>
        <v/>
      </c>
      <c r="Z367" s="3" t="str">
        <f t="shared" si="10"/>
        <v/>
      </c>
      <c r="AA367" s="3">
        <f t="shared" si="11"/>
        <v>0</v>
      </c>
    </row>
    <row r="368">
      <c r="A368" s="1" t="s">
        <v>3325</v>
      </c>
      <c r="B368" s="2" t="s">
        <v>28</v>
      </c>
      <c r="C368" s="2" t="s">
        <v>3326</v>
      </c>
      <c r="D368" s="2" t="s">
        <v>3327</v>
      </c>
      <c r="E368" s="2" t="s">
        <v>3328</v>
      </c>
      <c r="F368" s="2" t="s">
        <v>3329</v>
      </c>
      <c r="G368" s="2" t="s">
        <v>3330</v>
      </c>
      <c r="H368" s="2" t="s">
        <v>3331</v>
      </c>
      <c r="I368" s="2" t="s">
        <v>3332</v>
      </c>
      <c r="J368" s="2" t="s">
        <v>3333</v>
      </c>
      <c r="K368" s="2" t="s">
        <v>3334</v>
      </c>
      <c r="L368" s="2" t="s">
        <v>3335</v>
      </c>
      <c r="M368" s="2" t="s">
        <v>3336</v>
      </c>
      <c r="N368" s="2" t="s">
        <v>3337</v>
      </c>
      <c r="O368" s="2" t="s">
        <v>3338</v>
      </c>
      <c r="P368" s="2" t="s">
        <v>3339</v>
      </c>
      <c r="Q368" s="3">
        <f t="shared" si="1"/>
        <v>5</v>
      </c>
      <c r="R368" s="3">
        <f t="shared" si="2"/>
        <v>1.260628834</v>
      </c>
      <c r="S368" s="3">
        <f t="shared" si="3"/>
        <v>1.860345328</v>
      </c>
      <c r="T368" s="3">
        <f t="shared" si="4"/>
        <v>0.354800636</v>
      </c>
      <c r="U368" s="3">
        <f t="shared" si="12"/>
        <v>79</v>
      </c>
      <c r="V368" s="3">
        <f t="shared" si="6"/>
        <v>66</v>
      </c>
      <c r="W368" s="3">
        <f t="shared" si="7"/>
        <v>94</v>
      </c>
      <c r="X368" s="3" t="str">
        <f t="shared" si="8"/>
        <v/>
      </c>
      <c r="Y368" s="3" t="str">
        <f t="shared" si="9"/>
        <v/>
      </c>
      <c r="Z368" s="3" t="str">
        <f t="shared" si="10"/>
        <v/>
      </c>
      <c r="AA368" s="3">
        <f t="shared" si="11"/>
        <v>1.505544692</v>
      </c>
    </row>
    <row r="369">
      <c r="A369" s="1" t="s">
        <v>3325</v>
      </c>
      <c r="B369" s="2" t="s">
        <v>43</v>
      </c>
      <c r="C369" s="2" t="s">
        <v>3340</v>
      </c>
      <c r="D369" s="2" t="s">
        <v>3341</v>
      </c>
      <c r="E369" s="2" t="s">
        <v>3342</v>
      </c>
      <c r="F369" s="2" t="s">
        <v>3343</v>
      </c>
      <c r="G369" s="2" t="s">
        <v>3344</v>
      </c>
      <c r="H369" s="2" t="s">
        <v>3345</v>
      </c>
      <c r="I369" s="2" t="s">
        <v>3346</v>
      </c>
      <c r="J369" s="2" t="s">
        <v>3347</v>
      </c>
      <c r="K369" s="2" t="s">
        <v>3348</v>
      </c>
      <c r="L369" s="2" t="s">
        <v>3349</v>
      </c>
      <c r="M369" s="2" t="s">
        <v>3350</v>
      </c>
      <c r="N369" s="2" t="s">
        <v>3351</v>
      </c>
      <c r="O369" s="2" t="s">
        <v>3352</v>
      </c>
      <c r="P369" s="2" t="s">
        <v>55</v>
      </c>
      <c r="Q369" s="3" t="str">
        <f t="shared" si="1"/>
        <v/>
      </c>
      <c r="R369" s="3" t="str">
        <f t="shared" si="2"/>
        <v/>
      </c>
      <c r="S369" s="3" t="str">
        <f t="shared" si="3"/>
        <v/>
      </c>
      <c r="T369" s="3" t="str">
        <f t="shared" si="4"/>
        <v/>
      </c>
      <c r="U369" s="3">
        <f t="shared" si="12"/>
        <v>85</v>
      </c>
      <c r="V369" s="3">
        <f t="shared" si="6"/>
        <v>75</v>
      </c>
      <c r="W369" s="3">
        <f t="shared" si="7"/>
        <v>95</v>
      </c>
      <c r="X369" s="3" t="str">
        <f t="shared" si="8"/>
        <v/>
      </c>
      <c r="Y369" s="3" t="str">
        <f t="shared" si="9"/>
        <v/>
      </c>
      <c r="Z369" s="3" t="str">
        <f t="shared" si="10"/>
        <v/>
      </c>
      <c r="AA369" s="3">
        <f t="shared" si="11"/>
        <v>0</v>
      </c>
    </row>
    <row r="370">
      <c r="A370" s="1" t="s">
        <v>3353</v>
      </c>
      <c r="B370" s="2" t="s">
        <v>28</v>
      </c>
      <c r="C370" s="2" t="s">
        <v>3354</v>
      </c>
      <c r="D370" s="2" t="s">
        <v>3355</v>
      </c>
      <c r="E370" s="2" t="s">
        <v>3356</v>
      </c>
      <c r="F370" s="2" t="s">
        <v>3357</v>
      </c>
      <c r="G370" s="2" t="s">
        <v>3358</v>
      </c>
      <c r="H370" s="2" t="s">
        <v>3359</v>
      </c>
      <c r="I370" s="2" t="s">
        <v>3360</v>
      </c>
      <c r="J370" s="2" t="s">
        <v>3361</v>
      </c>
      <c r="K370" s="2" t="s">
        <v>3362</v>
      </c>
      <c r="L370" s="2" t="s">
        <v>3363</v>
      </c>
      <c r="M370" s="2" t="s">
        <v>3364</v>
      </c>
      <c r="N370" s="2" t="s">
        <v>3365</v>
      </c>
      <c r="O370" s="2" t="s">
        <v>3366</v>
      </c>
      <c r="P370" s="2" t="s">
        <v>55</v>
      </c>
      <c r="Q370" s="3">
        <f t="shared" si="1"/>
        <v>5</v>
      </c>
      <c r="R370" s="3">
        <f t="shared" si="2"/>
        <v>0.381814404</v>
      </c>
      <c r="S370" s="3">
        <f t="shared" si="3"/>
        <v>0.22428914</v>
      </c>
      <c r="T370" s="3">
        <f t="shared" si="4"/>
        <v>0.50974024</v>
      </c>
      <c r="U370" s="3">
        <f t="shared" si="12"/>
        <v>93</v>
      </c>
      <c r="V370" s="3">
        <f t="shared" si="6"/>
        <v>95</v>
      </c>
      <c r="W370" s="3">
        <f t="shared" si="7"/>
        <v>92</v>
      </c>
      <c r="X370" s="3" t="str">
        <f t="shared" si="8"/>
        <v/>
      </c>
      <c r="Y370" s="3" t="str">
        <f t="shared" si="9"/>
        <v/>
      </c>
      <c r="Z370" s="3" t="str">
        <f t="shared" si="10"/>
        <v/>
      </c>
      <c r="AA370" s="3">
        <f t="shared" si="11"/>
        <v>-0.2854511</v>
      </c>
    </row>
    <row r="371">
      <c r="A371" s="1" t="s">
        <v>3353</v>
      </c>
      <c r="B371" s="2" t="s">
        <v>43</v>
      </c>
      <c r="C371" s="2" t="s">
        <v>3367</v>
      </c>
      <c r="D371" s="2" t="s">
        <v>3368</v>
      </c>
      <c r="E371" s="2" t="s">
        <v>3369</v>
      </c>
      <c r="F371" s="2" t="s">
        <v>3370</v>
      </c>
      <c r="G371" s="2" t="s">
        <v>3371</v>
      </c>
      <c r="H371" s="2" t="s">
        <v>3372</v>
      </c>
      <c r="I371" s="2" t="s">
        <v>3373</v>
      </c>
      <c r="J371" s="2" t="s">
        <v>3374</v>
      </c>
      <c r="K371" s="2" t="s">
        <v>3375</v>
      </c>
      <c r="L371" s="2" t="s">
        <v>3376</v>
      </c>
      <c r="M371" s="2" t="s">
        <v>3377</v>
      </c>
      <c r="N371" s="2" t="s">
        <v>3378</v>
      </c>
      <c r="O371" s="2" t="s">
        <v>3379</v>
      </c>
      <c r="P371" s="2" t="s">
        <v>55</v>
      </c>
      <c r="Q371" s="3" t="str">
        <f t="shared" si="1"/>
        <v/>
      </c>
      <c r="R371" s="3" t="str">
        <f t="shared" si="2"/>
        <v/>
      </c>
      <c r="S371" s="3" t="str">
        <f t="shared" si="3"/>
        <v/>
      </c>
      <c r="T371" s="3" t="str">
        <f t="shared" si="4"/>
        <v/>
      </c>
      <c r="U371" s="3">
        <f t="shared" si="12"/>
        <v>95</v>
      </c>
      <c r="V371" s="3">
        <f t="shared" si="6"/>
        <v>96</v>
      </c>
      <c r="W371" s="3">
        <f t="shared" si="7"/>
        <v>95</v>
      </c>
      <c r="X371" s="3" t="str">
        <f t="shared" si="8"/>
        <v/>
      </c>
      <c r="Y371" s="3" t="str">
        <f t="shared" si="9"/>
        <v/>
      </c>
      <c r="Z371" s="3" t="str">
        <f t="shared" si="10"/>
        <v/>
      </c>
      <c r="AA371" s="3">
        <f t="shared" si="11"/>
        <v>0</v>
      </c>
    </row>
    <row r="372">
      <c r="A372" s="1" t="s">
        <v>3380</v>
      </c>
      <c r="B372" s="2" t="s">
        <v>28</v>
      </c>
      <c r="C372" s="2" t="s">
        <v>3381</v>
      </c>
      <c r="D372" s="2" t="s">
        <v>3382</v>
      </c>
      <c r="E372" s="2" t="s">
        <v>3383</v>
      </c>
      <c r="F372" s="2" t="s">
        <v>55</v>
      </c>
      <c r="G372" s="2" t="s">
        <v>55</v>
      </c>
      <c r="H372" s="2" t="s">
        <v>3384</v>
      </c>
      <c r="I372" s="1" t="s">
        <v>112</v>
      </c>
      <c r="J372" s="1" t="s">
        <v>112</v>
      </c>
      <c r="K372" s="1" t="s">
        <v>112</v>
      </c>
      <c r="L372" s="1" t="s">
        <v>112</v>
      </c>
      <c r="M372" s="1" t="s">
        <v>112</v>
      </c>
      <c r="N372" s="1" t="s">
        <v>112</v>
      </c>
      <c r="O372" s="1" t="s">
        <v>112</v>
      </c>
      <c r="P372" s="1" t="s">
        <v>112</v>
      </c>
      <c r="Q372" s="3">
        <f t="shared" si="1"/>
        <v>4</v>
      </c>
      <c r="R372" s="3">
        <f t="shared" si="2"/>
        <v>0.1502138475</v>
      </c>
      <c r="S372" s="3" t="str">
        <f t="shared" si="3"/>
        <v/>
      </c>
      <c r="T372" s="3" t="str">
        <f t="shared" si="4"/>
        <v/>
      </c>
      <c r="U372" s="3">
        <f t="shared" si="12"/>
        <v>96</v>
      </c>
      <c r="V372" s="3">
        <f t="shared" si="6"/>
        <v>0</v>
      </c>
      <c r="W372" s="3">
        <f t="shared" si="7"/>
        <v>0</v>
      </c>
      <c r="X372" s="3" t="str">
        <f t="shared" si="8"/>
        <v/>
      </c>
      <c r="Y372" s="3" t="str">
        <f t="shared" si="9"/>
        <v/>
      </c>
      <c r="Z372" s="3" t="str">
        <f t="shared" si="10"/>
        <v/>
      </c>
      <c r="AA372" s="3">
        <f t="shared" si="11"/>
        <v>0</v>
      </c>
    </row>
    <row r="373">
      <c r="A373" s="1" t="s">
        <v>3380</v>
      </c>
      <c r="B373" s="2" t="s">
        <v>251</v>
      </c>
      <c r="C373" s="2" t="s">
        <v>3385</v>
      </c>
      <c r="D373" s="2" t="s">
        <v>3386</v>
      </c>
      <c r="E373" s="2" t="s">
        <v>3387</v>
      </c>
      <c r="F373" s="2" t="s">
        <v>55</v>
      </c>
      <c r="G373" s="2" t="s">
        <v>3388</v>
      </c>
      <c r="H373" s="1" t="s">
        <v>112</v>
      </c>
      <c r="I373" s="1" t="s">
        <v>112</v>
      </c>
      <c r="J373" s="1" t="s">
        <v>112</v>
      </c>
      <c r="K373" s="1" t="s">
        <v>112</v>
      </c>
      <c r="L373" s="1" t="s">
        <v>112</v>
      </c>
      <c r="M373" s="1" t="s">
        <v>112</v>
      </c>
      <c r="N373" s="1" t="s">
        <v>112</v>
      </c>
      <c r="O373" s="1" t="s">
        <v>112</v>
      </c>
      <c r="P373" s="1" t="s">
        <v>112</v>
      </c>
      <c r="Q373" s="3" t="str">
        <f t="shared" si="1"/>
        <v/>
      </c>
      <c r="R373" s="3" t="str">
        <f t="shared" si="2"/>
        <v/>
      </c>
      <c r="S373" s="3" t="str">
        <f t="shared" si="3"/>
        <v/>
      </c>
      <c r="T373" s="3" t="str">
        <f t="shared" si="4"/>
        <v/>
      </c>
      <c r="U373" s="3">
        <f t="shared" si="12"/>
        <v>97</v>
      </c>
      <c r="V373" s="3">
        <f t="shared" si="6"/>
        <v>0</v>
      </c>
      <c r="W373" s="3">
        <f t="shared" si="7"/>
        <v>0</v>
      </c>
      <c r="X373" s="3" t="str">
        <f t="shared" si="8"/>
        <v/>
      </c>
      <c r="Y373" s="3" t="str">
        <f t="shared" si="9"/>
        <v/>
      </c>
      <c r="Z373" s="3" t="str">
        <f t="shared" si="10"/>
        <v/>
      </c>
      <c r="AA373" s="3">
        <f t="shared" si="11"/>
        <v>0</v>
      </c>
    </row>
    <row r="374">
      <c r="A374" s="1" t="s">
        <v>3389</v>
      </c>
      <c r="B374" s="2" t="s">
        <v>28</v>
      </c>
      <c r="C374" s="2" t="s">
        <v>3390</v>
      </c>
      <c r="D374" s="2" t="s">
        <v>3391</v>
      </c>
      <c r="E374" s="2" t="s">
        <v>3392</v>
      </c>
      <c r="F374" s="2" t="s">
        <v>3393</v>
      </c>
      <c r="G374" s="2" t="s">
        <v>3394</v>
      </c>
      <c r="H374" s="2" t="s">
        <v>3395</v>
      </c>
      <c r="I374" s="2" t="s">
        <v>3396</v>
      </c>
      <c r="J374" s="2" t="s">
        <v>3397</v>
      </c>
      <c r="K374" s="2" t="s">
        <v>3398</v>
      </c>
      <c r="L374" s="2" t="s">
        <v>3399</v>
      </c>
      <c r="M374" s="2" t="s">
        <v>3400</v>
      </c>
      <c r="N374" s="2" t="s">
        <v>3401</v>
      </c>
      <c r="O374" s="2" t="s">
        <v>3402</v>
      </c>
      <c r="P374" s="2" t="s">
        <v>3403</v>
      </c>
      <c r="Q374" s="3">
        <f t="shared" si="1"/>
        <v>5</v>
      </c>
      <c r="R374" s="3">
        <f t="shared" si="2"/>
        <v>1.183764092</v>
      </c>
      <c r="S374" s="3">
        <f t="shared" si="3"/>
        <v>1.444597766</v>
      </c>
      <c r="T374" s="3">
        <f t="shared" si="4"/>
        <v>0.542560016</v>
      </c>
      <c r="U374" s="3">
        <f t="shared" si="12"/>
        <v>58</v>
      </c>
      <c r="V374" s="3">
        <f t="shared" si="6"/>
        <v>46</v>
      </c>
      <c r="W374" s="3">
        <f t="shared" si="7"/>
        <v>76</v>
      </c>
      <c r="X374" s="3" t="str">
        <f t="shared" si="8"/>
        <v/>
      </c>
      <c r="Y374" s="3" t="str">
        <f t="shared" si="9"/>
        <v/>
      </c>
      <c r="Z374" s="3" t="str">
        <f t="shared" si="10"/>
        <v/>
      </c>
      <c r="AA374" s="3">
        <f t="shared" si="11"/>
        <v>0.90203775</v>
      </c>
    </row>
    <row r="375">
      <c r="A375" s="1" t="s">
        <v>3389</v>
      </c>
      <c r="B375" s="2" t="s">
        <v>43</v>
      </c>
      <c r="C375" s="2" t="s">
        <v>3404</v>
      </c>
      <c r="D375" s="2" t="s">
        <v>3405</v>
      </c>
      <c r="E375" s="2" t="s">
        <v>3406</v>
      </c>
      <c r="F375" s="2" t="s">
        <v>3407</v>
      </c>
      <c r="G375" s="2" t="s">
        <v>3408</v>
      </c>
      <c r="H375" s="2" t="s">
        <v>3409</v>
      </c>
      <c r="I375" s="2" t="s">
        <v>3410</v>
      </c>
      <c r="J375" s="2" t="s">
        <v>3411</v>
      </c>
      <c r="K375" s="2" t="s">
        <v>3412</v>
      </c>
      <c r="L375" s="2" t="s">
        <v>3413</v>
      </c>
      <c r="M375" s="2" t="s">
        <v>3414</v>
      </c>
      <c r="N375" s="2" t="s">
        <v>3415</v>
      </c>
      <c r="O375" s="2" t="s">
        <v>3416</v>
      </c>
      <c r="P375" s="2" t="s">
        <v>3417</v>
      </c>
      <c r="Q375" s="3" t="str">
        <f t="shared" si="1"/>
        <v/>
      </c>
      <c r="R375" s="3" t="str">
        <f t="shared" si="2"/>
        <v/>
      </c>
      <c r="S375" s="3" t="str">
        <f t="shared" si="3"/>
        <v/>
      </c>
      <c r="T375" s="3" t="str">
        <f t="shared" si="4"/>
        <v/>
      </c>
      <c r="U375" s="3">
        <f t="shared" si="12"/>
        <v>64</v>
      </c>
      <c r="V375" s="3">
        <f t="shared" si="6"/>
        <v>53</v>
      </c>
      <c r="W375" s="3">
        <f t="shared" si="7"/>
        <v>78</v>
      </c>
      <c r="X375" s="3" t="str">
        <f t="shared" si="8"/>
        <v/>
      </c>
      <c r="Y375" s="3" t="str">
        <f t="shared" si="9"/>
        <v/>
      </c>
      <c r="Z375" s="3" t="str">
        <f t="shared" si="10"/>
        <v/>
      </c>
      <c r="AA375" s="3">
        <f t="shared" si="11"/>
        <v>0</v>
      </c>
    </row>
    <row r="376">
      <c r="A376" s="1" t="s">
        <v>3418</v>
      </c>
      <c r="B376" s="2" t="s">
        <v>28</v>
      </c>
      <c r="C376" s="2" t="s">
        <v>3419</v>
      </c>
      <c r="D376" s="2" t="s">
        <v>54</v>
      </c>
      <c r="E376" s="2" t="s">
        <v>54</v>
      </c>
      <c r="F376" s="2" t="s">
        <v>55</v>
      </c>
      <c r="G376" s="2" t="s">
        <v>55</v>
      </c>
      <c r="H376" s="2" t="s">
        <v>55</v>
      </c>
      <c r="I376" s="1" t="s">
        <v>112</v>
      </c>
      <c r="J376" s="1" t="s">
        <v>112</v>
      </c>
      <c r="K376" s="1" t="s">
        <v>112</v>
      </c>
      <c r="L376" s="1" t="s">
        <v>112</v>
      </c>
      <c r="M376" s="2" t="s">
        <v>54</v>
      </c>
      <c r="N376" s="2" t="s">
        <v>55</v>
      </c>
      <c r="O376" s="2" t="s">
        <v>55</v>
      </c>
      <c r="P376" s="2" t="s">
        <v>55</v>
      </c>
      <c r="Q376" s="3">
        <f t="shared" si="1"/>
        <v>5</v>
      </c>
      <c r="R376" s="3">
        <f t="shared" si="2"/>
        <v>0</v>
      </c>
      <c r="S376" s="3" t="str">
        <f t="shared" si="3"/>
        <v/>
      </c>
      <c r="T376" s="3">
        <f t="shared" si="4"/>
        <v>0</v>
      </c>
      <c r="U376" s="3">
        <f t="shared" si="12"/>
        <v>100</v>
      </c>
      <c r="V376" s="3">
        <f t="shared" si="6"/>
        <v>0</v>
      </c>
      <c r="W376" s="3">
        <f t="shared" si="7"/>
        <v>100</v>
      </c>
      <c r="X376" s="3" t="str">
        <f t="shared" si="8"/>
        <v>full access</v>
      </c>
      <c r="Y376" s="3" t="str">
        <f t="shared" si="9"/>
        <v/>
      </c>
      <c r="Z376" s="3" t="str">
        <f t="shared" si="10"/>
        <v>full access</v>
      </c>
      <c r="AA376" s="3">
        <f t="shared" si="11"/>
        <v>0</v>
      </c>
    </row>
    <row r="377">
      <c r="A377" s="1" t="s">
        <v>3418</v>
      </c>
      <c r="B377" s="2" t="s">
        <v>43</v>
      </c>
      <c r="C377" s="2" t="s">
        <v>3420</v>
      </c>
      <c r="D377" s="2" t="s">
        <v>54</v>
      </c>
      <c r="E377" s="2" t="s">
        <v>54</v>
      </c>
      <c r="F377" s="2" t="s">
        <v>55</v>
      </c>
      <c r="G377" s="2" t="s">
        <v>55</v>
      </c>
      <c r="H377" s="2" t="s">
        <v>55</v>
      </c>
      <c r="I377" s="1" t="s">
        <v>112</v>
      </c>
      <c r="J377" s="1" t="s">
        <v>112</v>
      </c>
      <c r="K377" s="1" t="s">
        <v>112</v>
      </c>
      <c r="L377" s="1" t="s">
        <v>112</v>
      </c>
      <c r="M377" s="2" t="s">
        <v>54</v>
      </c>
      <c r="N377" s="2" t="s">
        <v>55</v>
      </c>
      <c r="O377" s="2" t="s">
        <v>55</v>
      </c>
      <c r="P377" s="2" t="s">
        <v>55</v>
      </c>
      <c r="Q377" s="3" t="str">
        <f t="shared" si="1"/>
        <v/>
      </c>
      <c r="R377" s="3" t="str">
        <f t="shared" si="2"/>
        <v/>
      </c>
      <c r="S377" s="3" t="str">
        <f t="shared" si="3"/>
        <v/>
      </c>
      <c r="T377" s="3" t="str">
        <f t="shared" si="4"/>
        <v/>
      </c>
      <c r="U377" s="3">
        <f t="shared" si="12"/>
        <v>100</v>
      </c>
      <c r="V377" s="3">
        <f t="shared" si="6"/>
        <v>0</v>
      </c>
      <c r="W377" s="3">
        <f t="shared" si="7"/>
        <v>100</v>
      </c>
      <c r="X377" s="3" t="str">
        <f t="shared" si="8"/>
        <v/>
      </c>
      <c r="Y377" s="3" t="str">
        <f t="shared" si="9"/>
        <v/>
      </c>
      <c r="Z377" s="3" t="str">
        <f t="shared" si="10"/>
        <v/>
      </c>
      <c r="AA377" s="3">
        <f t="shared" si="11"/>
        <v>0</v>
      </c>
    </row>
    <row r="378">
      <c r="A378" s="1" t="s">
        <v>3421</v>
      </c>
      <c r="B378" s="2" t="s">
        <v>28</v>
      </c>
      <c r="C378" s="2" t="s">
        <v>3422</v>
      </c>
      <c r="D378" s="2" t="s">
        <v>54</v>
      </c>
      <c r="E378" s="2" t="s">
        <v>3423</v>
      </c>
      <c r="F378" s="2" t="s">
        <v>55</v>
      </c>
      <c r="G378" s="2" t="s">
        <v>3424</v>
      </c>
      <c r="H378" s="2" t="s">
        <v>55</v>
      </c>
      <c r="I378" s="1" t="s">
        <v>112</v>
      </c>
      <c r="J378" s="1" t="s">
        <v>112</v>
      </c>
      <c r="K378" s="1" t="s">
        <v>112</v>
      </c>
      <c r="L378" s="1" t="s">
        <v>112</v>
      </c>
      <c r="M378" s="2" t="s">
        <v>3423</v>
      </c>
      <c r="N378" s="2" t="s">
        <v>55</v>
      </c>
      <c r="O378" s="2" t="s">
        <v>3424</v>
      </c>
      <c r="P378" s="2" t="s">
        <v>55</v>
      </c>
      <c r="Q378" s="3">
        <f t="shared" si="1"/>
        <v>2</v>
      </c>
      <c r="R378" s="3">
        <f t="shared" si="2"/>
        <v>0</v>
      </c>
      <c r="S378" s="3" t="str">
        <f t="shared" si="3"/>
        <v/>
      </c>
      <c r="T378" s="3">
        <f t="shared" si="4"/>
        <v>0</v>
      </c>
      <c r="U378" s="3">
        <f t="shared" si="12"/>
        <v>95</v>
      </c>
      <c r="V378" s="3">
        <f t="shared" si="6"/>
        <v>0</v>
      </c>
      <c r="W378" s="3">
        <f t="shared" si="7"/>
        <v>95</v>
      </c>
      <c r="X378" s="3" t="str">
        <f t="shared" si="8"/>
        <v/>
      </c>
      <c r="Y378" s="3" t="str">
        <f t="shared" si="9"/>
        <v/>
      </c>
      <c r="Z378" s="3" t="str">
        <f t="shared" si="10"/>
        <v/>
      </c>
      <c r="AA378" s="3">
        <f t="shared" si="11"/>
        <v>0</v>
      </c>
    </row>
    <row r="379">
      <c r="A379" s="1" t="s">
        <v>3421</v>
      </c>
      <c r="B379" s="2" t="s">
        <v>158</v>
      </c>
      <c r="C379" s="2" t="s">
        <v>3425</v>
      </c>
      <c r="D379" s="2" t="s">
        <v>54</v>
      </c>
      <c r="E379" s="2" t="s">
        <v>3423</v>
      </c>
      <c r="F379" s="2" t="s">
        <v>55</v>
      </c>
      <c r="G379" s="2" t="s">
        <v>3424</v>
      </c>
      <c r="H379" s="2" t="s">
        <v>55</v>
      </c>
      <c r="I379" s="1" t="s">
        <v>112</v>
      </c>
      <c r="J379" s="1" t="s">
        <v>112</v>
      </c>
      <c r="K379" s="1" t="s">
        <v>112</v>
      </c>
      <c r="L379" s="1" t="s">
        <v>112</v>
      </c>
      <c r="M379" s="2" t="s">
        <v>3423</v>
      </c>
      <c r="N379" s="2" t="s">
        <v>55</v>
      </c>
      <c r="O379" s="2" t="s">
        <v>3424</v>
      </c>
      <c r="P379" s="2" t="s">
        <v>55</v>
      </c>
      <c r="Q379" s="3" t="str">
        <f t="shared" si="1"/>
        <v/>
      </c>
      <c r="R379" s="3" t="str">
        <f t="shared" si="2"/>
        <v/>
      </c>
      <c r="S379" s="3" t="str">
        <f t="shared" si="3"/>
        <v/>
      </c>
      <c r="T379" s="3" t="str">
        <f t="shared" si="4"/>
        <v/>
      </c>
      <c r="U379" s="3">
        <f t="shared" si="12"/>
        <v>95</v>
      </c>
      <c r="V379" s="3">
        <f t="shared" si="6"/>
        <v>0</v>
      </c>
      <c r="W379" s="3">
        <f t="shared" si="7"/>
        <v>95</v>
      </c>
      <c r="X379" s="3" t="str">
        <f t="shared" si="8"/>
        <v/>
      </c>
      <c r="Y379" s="3" t="str">
        <f t="shared" si="9"/>
        <v/>
      </c>
      <c r="Z379" s="3" t="str">
        <f t="shared" si="10"/>
        <v/>
      </c>
      <c r="AA379" s="3">
        <f t="shared" si="11"/>
        <v>0</v>
      </c>
    </row>
    <row r="380">
      <c r="A380" s="1" t="s">
        <v>3426</v>
      </c>
      <c r="B380" s="2" t="s">
        <v>28</v>
      </c>
      <c r="C380" s="2" t="s">
        <v>3427</v>
      </c>
      <c r="D380" s="2" t="s">
        <v>3428</v>
      </c>
      <c r="E380" s="2" t="s">
        <v>3429</v>
      </c>
      <c r="F380" s="2" t="s">
        <v>3430</v>
      </c>
      <c r="G380" s="2" t="s">
        <v>55</v>
      </c>
      <c r="H380" s="2" t="s">
        <v>55</v>
      </c>
      <c r="I380" s="2" t="s">
        <v>54</v>
      </c>
      <c r="J380" s="2" t="s">
        <v>55</v>
      </c>
      <c r="K380" s="2" t="s">
        <v>55</v>
      </c>
      <c r="L380" s="2" t="s">
        <v>55</v>
      </c>
      <c r="M380" s="2" t="s">
        <v>3431</v>
      </c>
      <c r="N380" s="2" t="s">
        <v>3432</v>
      </c>
      <c r="O380" s="2" t="s">
        <v>55</v>
      </c>
      <c r="P380" s="2" t="s">
        <v>55</v>
      </c>
      <c r="Q380" s="3">
        <f t="shared" si="1"/>
        <v>5</v>
      </c>
      <c r="R380" s="3">
        <f t="shared" si="2"/>
        <v>0.00010189</v>
      </c>
      <c r="S380" s="3">
        <f t="shared" si="3"/>
        <v>0</v>
      </c>
      <c r="T380" s="3">
        <f t="shared" si="4"/>
        <v>0</v>
      </c>
      <c r="U380" s="3">
        <f t="shared" si="12"/>
        <v>100</v>
      </c>
      <c r="V380" s="3">
        <f t="shared" si="6"/>
        <v>100</v>
      </c>
      <c r="W380" s="3">
        <f t="shared" si="7"/>
        <v>100</v>
      </c>
      <c r="X380" s="3" t="str">
        <f t="shared" si="8"/>
        <v>full access</v>
      </c>
      <c r="Y380" s="3" t="str">
        <f t="shared" si="9"/>
        <v>full access</v>
      </c>
      <c r="Z380" s="3" t="str">
        <f t="shared" si="10"/>
        <v>full access</v>
      </c>
      <c r="AA380" s="3">
        <f t="shared" si="11"/>
        <v>0</v>
      </c>
    </row>
    <row r="381">
      <c r="A381" s="1" t="s">
        <v>3426</v>
      </c>
      <c r="B381" s="2" t="s">
        <v>43</v>
      </c>
      <c r="C381" s="2" t="s">
        <v>3433</v>
      </c>
      <c r="D381" s="2" t="s">
        <v>3434</v>
      </c>
      <c r="E381" s="2" t="s">
        <v>3435</v>
      </c>
      <c r="F381" s="2" t="s">
        <v>3436</v>
      </c>
      <c r="G381" s="2" t="s">
        <v>55</v>
      </c>
      <c r="H381" s="2" t="s">
        <v>55</v>
      </c>
      <c r="I381" s="2" t="s">
        <v>54</v>
      </c>
      <c r="J381" s="2" t="s">
        <v>55</v>
      </c>
      <c r="K381" s="2" t="s">
        <v>55</v>
      </c>
      <c r="L381" s="2" t="s">
        <v>55</v>
      </c>
      <c r="M381" s="2" t="s">
        <v>3431</v>
      </c>
      <c r="N381" s="2" t="s">
        <v>3432</v>
      </c>
      <c r="O381" s="2" t="s">
        <v>55</v>
      </c>
      <c r="P381" s="2" t="s">
        <v>55</v>
      </c>
      <c r="Q381" s="3" t="str">
        <f t="shared" si="1"/>
        <v/>
      </c>
      <c r="R381" s="3" t="str">
        <f t="shared" si="2"/>
        <v/>
      </c>
      <c r="S381" s="3" t="str">
        <f t="shared" si="3"/>
        <v/>
      </c>
      <c r="T381" s="3" t="str">
        <f t="shared" si="4"/>
        <v/>
      </c>
      <c r="U381" s="3">
        <f t="shared" si="12"/>
        <v>100</v>
      </c>
      <c r="V381" s="3">
        <f t="shared" si="6"/>
        <v>100</v>
      </c>
      <c r="W381" s="3">
        <f t="shared" si="7"/>
        <v>100</v>
      </c>
      <c r="X381" s="3" t="str">
        <f t="shared" si="8"/>
        <v/>
      </c>
      <c r="Y381" s="3" t="str">
        <f t="shared" si="9"/>
        <v/>
      </c>
      <c r="Z381" s="3" t="str">
        <f t="shared" si="10"/>
        <v/>
      </c>
      <c r="AA381" s="3">
        <f t="shared" si="11"/>
        <v>0</v>
      </c>
    </row>
    <row r="382">
      <c r="A382" s="1" t="s">
        <v>3437</v>
      </c>
      <c r="B382" s="2" t="s">
        <v>28</v>
      </c>
      <c r="C382" s="2" t="s">
        <v>3438</v>
      </c>
      <c r="D382" s="2" t="s">
        <v>3439</v>
      </c>
      <c r="E382" s="2" t="s">
        <v>3440</v>
      </c>
      <c r="F382" s="2" t="s">
        <v>55</v>
      </c>
      <c r="G382" s="2" t="s">
        <v>3441</v>
      </c>
      <c r="H382" s="2" t="s">
        <v>55</v>
      </c>
      <c r="I382" s="1" t="s">
        <v>112</v>
      </c>
      <c r="J382" s="1" t="s">
        <v>112</v>
      </c>
      <c r="K382" s="1" t="s">
        <v>112</v>
      </c>
      <c r="L382" s="1" t="s">
        <v>112</v>
      </c>
      <c r="M382" s="1" t="s">
        <v>112</v>
      </c>
      <c r="N382" s="1" t="s">
        <v>112</v>
      </c>
      <c r="O382" s="1" t="s">
        <v>112</v>
      </c>
      <c r="P382" s="1" t="s">
        <v>112</v>
      </c>
      <c r="Q382" s="3">
        <f t="shared" si="1"/>
        <v>5</v>
      </c>
      <c r="R382" s="3">
        <f t="shared" si="2"/>
        <v>0</v>
      </c>
      <c r="S382" s="3" t="str">
        <f t="shared" si="3"/>
        <v/>
      </c>
      <c r="T382" s="3" t="str">
        <f t="shared" si="4"/>
        <v/>
      </c>
      <c r="U382" s="3">
        <f t="shared" si="12"/>
        <v>100</v>
      </c>
      <c r="V382" s="3">
        <f t="shared" si="6"/>
        <v>0</v>
      </c>
      <c r="W382" s="3">
        <f t="shared" si="7"/>
        <v>0</v>
      </c>
      <c r="X382" s="3" t="str">
        <f t="shared" si="8"/>
        <v>full access</v>
      </c>
      <c r="Y382" s="3" t="str">
        <f t="shared" si="9"/>
        <v/>
      </c>
      <c r="Z382" s="3" t="str">
        <f t="shared" si="10"/>
        <v/>
      </c>
      <c r="AA382" s="3">
        <f t="shared" si="11"/>
        <v>0</v>
      </c>
    </row>
    <row r="383">
      <c r="A383" s="1" t="s">
        <v>3437</v>
      </c>
      <c r="B383" s="2" t="s">
        <v>43</v>
      </c>
      <c r="C383" s="2" t="s">
        <v>3442</v>
      </c>
      <c r="D383" s="2" t="s">
        <v>3443</v>
      </c>
      <c r="E383" s="2" t="s">
        <v>3440</v>
      </c>
      <c r="F383" s="2" t="s">
        <v>55</v>
      </c>
      <c r="G383" s="2" t="s">
        <v>3441</v>
      </c>
      <c r="H383" s="2" t="s">
        <v>55</v>
      </c>
      <c r="I383" s="1" t="s">
        <v>112</v>
      </c>
      <c r="J383" s="1" t="s">
        <v>112</v>
      </c>
      <c r="K383" s="1" t="s">
        <v>112</v>
      </c>
      <c r="L383" s="1" t="s">
        <v>112</v>
      </c>
      <c r="M383" s="1" t="s">
        <v>112</v>
      </c>
      <c r="N383" s="1" t="s">
        <v>112</v>
      </c>
      <c r="O383" s="1" t="s">
        <v>112</v>
      </c>
      <c r="P383" s="1" t="s">
        <v>112</v>
      </c>
      <c r="Q383" s="3" t="str">
        <f t="shared" si="1"/>
        <v/>
      </c>
      <c r="R383" s="3" t="str">
        <f t="shared" si="2"/>
        <v/>
      </c>
      <c r="S383" s="3" t="str">
        <f t="shared" si="3"/>
        <v/>
      </c>
      <c r="T383" s="3" t="str">
        <f t="shared" si="4"/>
        <v/>
      </c>
      <c r="U383" s="3">
        <f t="shared" si="12"/>
        <v>100</v>
      </c>
      <c r="V383" s="3">
        <f t="shared" si="6"/>
        <v>0</v>
      </c>
      <c r="W383" s="3">
        <f t="shared" si="7"/>
        <v>0</v>
      </c>
      <c r="X383" s="3" t="str">
        <f t="shared" si="8"/>
        <v/>
      </c>
      <c r="Y383" s="3" t="str">
        <f t="shared" si="9"/>
        <v/>
      </c>
      <c r="Z383" s="3" t="str">
        <f t="shared" si="10"/>
        <v/>
      </c>
      <c r="AA383" s="3">
        <f t="shared" si="11"/>
        <v>0</v>
      </c>
    </row>
    <row r="384">
      <c r="A384" s="1" t="s">
        <v>3444</v>
      </c>
      <c r="B384" s="2" t="s">
        <v>28</v>
      </c>
      <c r="C384" s="2" t="s">
        <v>3445</v>
      </c>
      <c r="D384" s="2" t="s">
        <v>3446</v>
      </c>
      <c r="E384" s="2" t="s">
        <v>3447</v>
      </c>
      <c r="F384" s="2" t="s">
        <v>3448</v>
      </c>
      <c r="G384" s="2" t="s">
        <v>3449</v>
      </c>
      <c r="H384" s="2" t="s">
        <v>3450</v>
      </c>
      <c r="I384" s="2" t="s">
        <v>3451</v>
      </c>
      <c r="J384" s="2" t="s">
        <v>3452</v>
      </c>
      <c r="K384" s="2" t="s">
        <v>3453</v>
      </c>
      <c r="L384" s="2" t="s">
        <v>3454</v>
      </c>
      <c r="M384" s="2" t="s">
        <v>3455</v>
      </c>
      <c r="N384" s="2" t="s">
        <v>3456</v>
      </c>
      <c r="O384" s="2" t="s">
        <v>3457</v>
      </c>
      <c r="P384" s="2" t="s">
        <v>3458</v>
      </c>
      <c r="Q384" s="3">
        <f t="shared" si="1"/>
        <v>5</v>
      </c>
      <c r="R384" s="3">
        <f t="shared" si="2"/>
        <v>-0.40577867</v>
      </c>
      <c r="S384" s="3">
        <f t="shared" si="3"/>
        <v>-0.72137414</v>
      </c>
      <c r="T384" s="3">
        <f t="shared" si="4"/>
        <v>0.028760968</v>
      </c>
      <c r="U384" s="3">
        <f t="shared" si="12"/>
        <v>69</v>
      </c>
      <c r="V384" s="3">
        <f t="shared" si="6"/>
        <v>63</v>
      </c>
      <c r="W384" s="3">
        <f t="shared" si="7"/>
        <v>91</v>
      </c>
      <c r="X384" s="3" t="str">
        <f t="shared" si="8"/>
        <v/>
      </c>
      <c r="Y384" s="3" t="str">
        <f t="shared" si="9"/>
        <v/>
      </c>
      <c r="Z384" s="3" t="str">
        <f t="shared" si="10"/>
        <v/>
      </c>
      <c r="AA384" s="3">
        <f t="shared" si="11"/>
        <v>-0.750135108</v>
      </c>
    </row>
    <row r="385">
      <c r="A385" s="1" t="s">
        <v>3444</v>
      </c>
      <c r="B385" s="2" t="s">
        <v>43</v>
      </c>
      <c r="C385" s="2" t="s">
        <v>3459</v>
      </c>
      <c r="D385" s="2" t="s">
        <v>3460</v>
      </c>
      <c r="E385" s="2" t="s">
        <v>3461</v>
      </c>
      <c r="F385" s="2" t="s">
        <v>3462</v>
      </c>
      <c r="G385" s="2" t="s">
        <v>3463</v>
      </c>
      <c r="H385" s="2" t="s">
        <v>3464</v>
      </c>
      <c r="I385" s="2" t="s">
        <v>3465</v>
      </c>
      <c r="J385" s="2" t="s">
        <v>3466</v>
      </c>
      <c r="K385" s="2" t="s">
        <v>3467</v>
      </c>
      <c r="L385" s="2" t="s">
        <v>3468</v>
      </c>
      <c r="M385" s="2" t="s">
        <v>3469</v>
      </c>
      <c r="N385" s="2" t="s">
        <v>3470</v>
      </c>
      <c r="O385" s="2" t="s">
        <v>3471</v>
      </c>
      <c r="P385" s="2" t="s">
        <v>3472</v>
      </c>
      <c r="Q385" s="3" t="str">
        <f t="shared" si="1"/>
        <v/>
      </c>
      <c r="R385" s="3" t="str">
        <f t="shared" si="2"/>
        <v/>
      </c>
      <c r="S385" s="3" t="str">
        <f t="shared" si="3"/>
        <v/>
      </c>
      <c r="T385" s="3" t="str">
        <f t="shared" si="4"/>
        <v/>
      </c>
      <c r="U385" s="3">
        <f t="shared" si="12"/>
        <v>67</v>
      </c>
      <c r="V385" s="3">
        <f t="shared" si="6"/>
        <v>59</v>
      </c>
      <c r="W385" s="3">
        <f t="shared" si="7"/>
        <v>91</v>
      </c>
      <c r="X385" s="3" t="str">
        <f t="shared" si="8"/>
        <v/>
      </c>
      <c r="Y385" s="3" t="str">
        <f t="shared" si="9"/>
        <v/>
      </c>
      <c r="Z385" s="3" t="str">
        <f t="shared" si="10"/>
        <v/>
      </c>
      <c r="AA385" s="3">
        <f t="shared" si="11"/>
        <v>0</v>
      </c>
    </row>
    <row r="386">
      <c r="A386" s="1" t="s">
        <v>3473</v>
      </c>
      <c r="B386" s="2" t="s">
        <v>28</v>
      </c>
      <c r="C386" s="2" t="s">
        <v>3474</v>
      </c>
      <c r="D386" s="2" t="s">
        <v>3475</v>
      </c>
      <c r="E386" s="2" t="s">
        <v>3476</v>
      </c>
      <c r="F386" s="2" t="s">
        <v>3477</v>
      </c>
      <c r="G386" s="2" t="s">
        <v>3478</v>
      </c>
      <c r="H386" s="2" t="s">
        <v>3479</v>
      </c>
      <c r="I386" s="2" t="s">
        <v>3480</v>
      </c>
      <c r="J386" s="2" t="s">
        <v>3481</v>
      </c>
      <c r="K386" s="2" t="s">
        <v>3482</v>
      </c>
      <c r="L386" s="2" t="s">
        <v>3483</v>
      </c>
      <c r="M386" s="2" t="s">
        <v>3484</v>
      </c>
      <c r="N386" s="2" t="s">
        <v>3485</v>
      </c>
      <c r="O386" s="2" t="s">
        <v>3486</v>
      </c>
      <c r="P386" s="2" t="s">
        <v>3487</v>
      </c>
      <c r="Q386" s="3">
        <f t="shared" si="1"/>
        <v>5</v>
      </c>
      <c r="R386" s="3">
        <f t="shared" si="2"/>
        <v>1.553163942</v>
      </c>
      <c r="S386" s="3">
        <f t="shared" si="3"/>
        <v>1.569534044</v>
      </c>
      <c r="T386" s="3">
        <f t="shared" si="4"/>
        <v>0.96851942</v>
      </c>
      <c r="U386" s="3">
        <f t="shared" si="12"/>
        <v>49</v>
      </c>
      <c r="V386" s="3">
        <f t="shared" si="6"/>
        <v>29</v>
      </c>
      <c r="W386" s="3">
        <f t="shared" si="7"/>
        <v>74</v>
      </c>
      <c r="X386" s="3" t="str">
        <f t="shared" si="8"/>
        <v/>
      </c>
      <c r="Y386" s="3" t="str">
        <f t="shared" si="9"/>
        <v/>
      </c>
      <c r="Z386" s="3" t="str">
        <f t="shared" si="10"/>
        <v/>
      </c>
      <c r="AA386" s="3">
        <f t="shared" si="11"/>
        <v>0.601014624</v>
      </c>
    </row>
    <row r="387">
      <c r="A387" s="1" t="s">
        <v>3473</v>
      </c>
      <c r="B387" s="2" t="s">
        <v>43</v>
      </c>
      <c r="C387" s="2" t="s">
        <v>3488</v>
      </c>
      <c r="D387" s="2" t="s">
        <v>3489</v>
      </c>
      <c r="E387" s="2" t="s">
        <v>3490</v>
      </c>
      <c r="F387" s="2" t="s">
        <v>3491</v>
      </c>
      <c r="G387" s="2" t="s">
        <v>3492</v>
      </c>
      <c r="H387" s="2" t="s">
        <v>3493</v>
      </c>
      <c r="I387" s="2" t="s">
        <v>3494</v>
      </c>
      <c r="J387" s="2" t="s">
        <v>3495</v>
      </c>
      <c r="K387" s="2" t="s">
        <v>3496</v>
      </c>
      <c r="L387" s="2" t="s">
        <v>3497</v>
      </c>
      <c r="M387" s="2" t="s">
        <v>3498</v>
      </c>
      <c r="N387" s="2" t="s">
        <v>3499</v>
      </c>
      <c r="O387" s="2" t="s">
        <v>3500</v>
      </c>
      <c r="P387" s="2" t="s">
        <v>55</v>
      </c>
      <c r="Q387" s="3" t="str">
        <f t="shared" si="1"/>
        <v/>
      </c>
      <c r="R387" s="3" t="str">
        <f t="shared" si="2"/>
        <v/>
      </c>
      <c r="S387" s="3" t="str">
        <f t="shared" si="3"/>
        <v/>
      </c>
      <c r="T387" s="3" t="str">
        <f t="shared" si="4"/>
        <v/>
      </c>
      <c r="U387" s="3">
        <f t="shared" si="12"/>
        <v>56</v>
      </c>
      <c r="V387" s="3">
        <f t="shared" si="6"/>
        <v>37</v>
      </c>
      <c r="W387" s="3">
        <f t="shared" si="7"/>
        <v>79</v>
      </c>
      <c r="X387" s="3" t="str">
        <f t="shared" si="8"/>
        <v/>
      </c>
      <c r="Y387" s="3" t="str">
        <f t="shared" si="9"/>
        <v/>
      </c>
      <c r="Z387" s="3" t="str">
        <f t="shared" si="10"/>
        <v/>
      </c>
      <c r="AA387" s="3">
        <f t="shared" si="11"/>
        <v>0</v>
      </c>
    </row>
    <row r="388">
      <c r="A388" s="1" t="s">
        <v>3501</v>
      </c>
      <c r="B388" s="2" t="s">
        <v>28</v>
      </c>
      <c r="C388" s="2" t="s">
        <v>3502</v>
      </c>
      <c r="D388" s="2" t="s">
        <v>3503</v>
      </c>
      <c r="E388" s="2" t="s">
        <v>3504</v>
      </c>
      <c r="F388" s="2" t="s">
        <v>3505</v>
      </c>
      <c r="G388" s="2" t="s">
        <v>3506</v>
      </c>
      <c r="H388" s="2" t="s">
        <v>3507</v>
      </c>
      <c r="I388" s="2" t="s">
        <v>3508</v>
      </c>
      <c r="J388" s="2" t="s">
        <v>3509</v>
      </c>
      <c r="K388" s="2" t="s">
        <v>3510</v>
      </c>
      <c r="L388" s="2" t="s">
        <v>3511</v>
      </c>
      <c r="M388" s="2" t="s">
        <v>3512</v>
      </c>
      <c r="N388" s="2" t="s">
        <v>3513</v>
      </c>
      <c r="O388" s="2" t="s">
        <v>3514</v>
      </c>
      <c r="P388" s="2" t="s">
        <v>55</v>
      </c>
      <c r="Q388" s="3">
        <f t="shared" si="1"/>
        <v>5</v>
      </c>
      <c r="R388" s="3">
        <f t="shared" si="2"/>
        <v>0.401742714</v>
      </c>
      <c r="S388" s="3">
        <f t="shared" si="3"/>
        <v>0.85914853</v>
      </c>
      <c r="T388" s="3">
        <f t="shared" si="4"/>
        <v>0.031450278</v>
      </c>
      <c r="U388" s="3">
        <f t="shared" si="12"/>
        <v>92</v>
      </c>
      <c r="V388" s="3">
        <f t="shared" si="6"/>
        <v>79</v>
      </c>
      <c r="W388" s="3">
        <f t="shared" si="7"/>
        <v>99</v>
      </c>
      <c r="X388" s="3" t="str">
        <f t="shared" si="8"/>
        <v/>
      </c>
      <c r="Y388" s="3" t="str">
        <f t="shared" si="9"/>
        <v/>
      </c>
      <c r="Z388" s="3" t="str">
        <f t="shared" si="10"/>
        <v/>
      </c>
      <c r="AA388" s="3">
        <f t="shared" si="11"/>
        <v>0.827698252</v>
      </c>
    </row>
    <row r="389">
      <c r="A389" s="1" t="s">
        <v>3501</v>
      </c>
      <c r="B389" s="2" t="s">
        <v>43</v>
      </c>
      <c r="C389" s="2" t="s">
        <v>3515</v>
      </c>
      <c r="D389" s="2" t="s">
        <v>3516</v>
      </c>
      <c r="E389" s="2" t="s">
        <v>3517</v>
      </c>
      <c r="F389" s="2" t="s">
        <v>3518</v>
      </c>
      <c r="G389" s="2" t="s">
        <v>3519</v>
      </c>
      <c r="H389" s="2" t="s">
        <v>3520</v>
      </c>
      <c r="I389" s="2" t="s">
        <v>3521</v>
      </c>
      <c r="J389" s="2" t="s">
        <v>3522</v>
      </c>
      <c r="K389" s="2" t="s">
        <v>3523</v>
      </c>
      <c r="L389" s="2" t="s">
        <v>3524</v>
      </c>
      <c r="M389" s="2" t="s">
        <v>3525</v>
      </c>
      <c r="N389" s="2" t="s">
        <v>3526</v>
      </c>
      <c r="O389" s="2" t="s">
        <v>3527</v>
      </c>
      <c r="P389" s="2" t="s">
        <v>55</v>
      </c>
      <c r="Q389" s="3" t="str">
        <f t="shared" si="1"/>
        <v/>
      </c>
      <c r="R389" s="3" t="str">
        <f t="shared" si="2"/>
        <v/>
      </c>
      <c r="S389" s="3" t="str">
        <f t="shared" si="3"/>
        <v/>
      </c>
      <c r="T389" s="3" t="str">
        <f t="shared" si="4"/>
        <v/>
      </c>
      <c r="U389" s="3">
        <f t="shared" si="12"/>
        <v>94</v>
      </c>
      <c r="V389" s="3">
        <f t="shared" si="6"/>
        <v>83</v>
      </c>
      <c r="W389" s="3">
        <f t="shared" si="7"/>
        <v>99</v>
      </c>
      <c r="X389" s="3" t="str">
        <f t="shared" si="8"/>
        <v/>
      </c>
      <c r="Y389" s="3" t="str">
        <f t="shared" si="9"/>
        <v/>
      </c>
      <c r="Z389" s="3" t="str">
        <f t="shared" si="10"/>
        <v/>
      </c>
      <c r="AA389" s="3">
        <f t="shared" si="11"/>
        <v>0</v>
      </c>
    </row>
    <row r="390">
      <c r="A390" s="1" t="s">
        <v>3528</v>
      </c>
      <c r="B390" s="2" t="s">
        <v>28</v>
      </c>
      <c r="C390" s="2" t="s">
        <v>3529</v>
      </c>
      <c r="D390" s="2" t="s">
        <v>3530</v>
      </c>
      <c r="E390" s="2" t="s">
        <v>3531</v>
      </c>
      <c r="F390" s="2" t="s">
        <v>3532</v>
      </c>
      <c r="G390" s="2" t="s">
        <v>3533</v>
      </c>
      <c r="H390" s="2" t="s">
        <v>3534</v>
      </c>
      <c r="I390" s="2" t="s">
        <v>3535</v>
      </c>
      <c r="J390" s="2" t="s">
        <v>3536</v>
      </c>
      <c r="K390" s="2" t="s">
        <v>3537</v>
      </c>
      <c r="L390" s="2" t="s">
        <v>3538</v>
      </c>
      <c r="M390" s="2" t="s">
        <v>3539</v>
      </c>
      <c r="N390" s="2" t="s">
        <v>3540</v>
      </c>
      <c r="O390" s="2" t="s">
        <v>3541</v>
      </c>
      <c r="P390" s="2" t="s">
        <v>3542</v>
      </c>
      <c r="Q390" s="3">
        <f t="shared" si="1"/>
        <v>5</v>
      </c>
      <c r="R390" s="3">
        <f t="shared" si="2"/>
        <v>-0.059316458</v>
      </c>
      <c r="S390" s="3">
        <f t="shared" si="3"/>
        <v>-0.626630184</v>
      </c>
      <c r="T390" s="3">
        <f t="shared" si="4"/>
        <v>1.862165418</v>
      </c>
      <c r="U390" s="3">
        <f t="shared" si="12"/>
        <v>41</v>
      </c>
      <c r="V390" s="3">
        <f t="shared" si="6"/>
        <v>37</v>
      </c>
      <c r="W390" s="3">
        <f t="shared" si="7"/>
        <v>61</v>
      </c>
      <c r="X390" s="3" t="str">
        <f t="shared" si="8"/>
        <v/>
      </c>
      <c r="Y390" s="3" t="str">
        <f t="shared" si="9"/>
        <v/>
      </c>
      <c r="Z390" s="3" t="str">
        <f t="shared" si="10"/>
        <v/>
      </c>
      <c r="AA390" s="3">
        <f t="shared" si="11"/>
        <v>-2.488795602</v>
      </c>
    </row>
    <row r="391">
      <c r="A391" s="1" t="s">
        <v>3528</v>
      </c>
      <c r="B391" s="2" t="s">
        <v>43</v>
      </c>
      <c r="C391" s="2" t="s">
        <v>3543</v>
      </c>
      <c r="D391" s="2" t="s">
        <v>3544</v>
      </c>
      <c r="E391" s="2" t="s">
        <v>3545</v>
      </c>
      <c r="F391" s="2" t="s">
        <v>3546</v>
      </c>
      <c r="G391" s="2" t="s">
        <v>3547</v>
      </c>
      <c r="H391" s="2" t="s">
        <v>3548</v>
      </c>
      <c r="I391" s="2" t="s">
        <v>3549</v>
      </c>
      <c r="J391" s="2" t="s">
        <v>3550</v>
      </c>
      <c r="K391" s="2" t="s">
        <v>3551</v>
      </c>
      <c r="L391" s="2" t="s">
        <v>3552</v>
      </c>
      <c r="M391" s="2" t="s">
        <v>3553</v>
      </c>
      <c r="N391" s="2" t="s">
        <v>3554</v>
      </c>
      <c r="O391" s="2" t="s">
        <v>3555</v>
      </c>
      <c r="P391" s="2" t="s">
        <v>55</v>
      </c>
      <c r="Q391" s="3" t="str">
        <f t="shared" si="1"/>
        <v/>
      </c>
      <c r="R391" s="3" t="str">
        <f t="shared" si="2"/>
        <v/>
      </c>
      <c r="S391" s="3" t="str">
        <f t="shared" si="3"/>
        <v/>
      </c>
      <c r="T391" s="3" t="str">
        <f t="shared" si="4"/>
        <v/>
      </c>
      <c r="U391" s="3">
        <f t="shared" si="12"/>
        <v>41</v>
      </c>
      <c r="V391" s="3">
        <f t="shared" si="6"/>
        <v>34</v>
      </c>
      <c r="W391" s="3">
        <f t="shared" si="7"/>
        <v>70</v>
      </c>
      <c r="X391" s="3" t="str">
        <f t="shared" si="8"/>
        <v/>
      </c>
      <c r="Y391" s="3" t="str">
        <f t="shared" si="9"/>
        <v/>
      </c>
      <c r="Z391" s="3" t="str">
        <f t="shared" si="10"/>
        <v/>
      </c>
      <c r="AA391" s="3">
        <f t="shared" si="11"/>
        <v>0</v>
      </c>
    </row>
    <row r="392">
      <c r="A392" s="1" t="s">
        <v>3556</v>
      </c>
      <c r="B392" s="2" t="s">
        <v>28</v>
      </c>
      <c r="C392" s="2" t="s">
        <v>3557</v>
      </c>
      <c r="D392" s="2" t="s">
        <v>3558</v>
      </c>
      <c r="E392" s="2" t="s">
        <v>3559</v>
      </c>
      <c r="F392" s="2" t="s">
        <v>55</v>
      </c>
      <c r="G392" s="2" t="s">
        <v>3560</v>
      </c>
      <c r="H392" s="2" t="s">
        <v>55</v>
      </c>
      <c r="I392" s="2" t="s">
        <v>54</v>
      </c>
      <c r="J392" s="2" t="s">
        <v>55</v>
      </c>
      <c r="K392" s="2" t="s">
        <v>55</v>
      </c>
      <c r="L392" s="2" t="s">
        <v>55</v>
      </c>
      <c r="M392" s="2" t="s">
        <v>3561</v>
      </c>
      <c r="N392" s="2" t="s">
        <v>55</v>
      </c>
      <c r="O392" s="2" t="s">
        <v>3562</v>
      </c>
      <c r="P392" s="2" t="s">
        <v>55</v>
      </c>
      <c r="Q392" s="3">
        <f t="shared" si="1"/>
        <v>5</v>
      </c>
      <c r="R392" s="3">
        <f t="shared" si="2"/>
        <v>-0.00022157</v>
      </c>
      <c r="S392" s="3">
        <f t="shared" si="3"/>
        <v>0</v>
      </c>
      <c r="T392" s="3">
        <f t="shared" si="4"/>
        <v>0</v>
      </c>
      <c r="U392" s="3">
        <f t="shared" si="12"/>
        <v>100</v>
      </c>
      <c r="V392" s="3">
        <f t="shared" si="6"/>
        <v>100</v>
      </c>
      <c r="W392" s="3">
        <f t="shared" si="7"/>
        <v>100</v>
      </c>
      <c r="X392" s="3" t="str">
        <f t="shared" si="8"/>
        <v>full access</v>
      </c>
      <c r="Y392" s="3" t="str">
        <f t="shared" si="9"/>
        <v>full access</v>
      </c>
      <c r="Z392" s="3" t="str">
        <f t="shared" si="10"/>
        <v>full access</v>
      </c>
      <c r="AA392" s="3">
        <f t="shared" si="11"/>
        <v>0</v>
      </c>
    </row>
    <row r="393">
      <c r="A393" s="1" t="s">
        <v>3556</v>
      </c>
      <c r="B393" s="2" t="s">
        <v>43</v>
      </c>
      <c r="C393" s="2" t="s">
        <v>3563</v>
      </c>
      <c r="D393" s="2" t="s">
        <v>3564</v>
      </c>
      <c r="E393" s="2" t="s">
        <v>3565</v>
      </c>
      <c r="F393" s="2" t="s">
        <v>55</v>
      </c>
      <c r="G393" s="2" t="s">
        <v>3566</v>
      </c>
      <c r="H393" s="2" t="s">
        <v>55</v>
      </c>
      <c r="I393" s="2" t="s">
        <v>54</v>
      </c>
      <c r="J393" s="2" t="s">
        <v>55</v>
      </c>
      <c r="K393" s="2" t="s">
        <v>55</v>
      </c>
      <c r="L393" s="2" t="s">
        <v>55</v>
      </c>
      <c r="M393" s="2" t="s">
        <v>3561</v>
      </c>
      <c r="N393" s="2" t="s">
        <v>55</v>
      </c>
      <c r="O393" s="2" t="s">
        <v>3562</v>
      </c>
      <c r="P393" s="2" t="s">
        <v>55</v>
      </c>
      <c r="Q393" s="3" t="str">
        <f t="shared" si="1"/>
        <v/>
      </c>
      <c r="R393" s="3" t="str">
        <f t="shared" si="2"/>
        <v/>
      </c>
      <c r="S393" s="3" t="str">
        <f t="shared" si="3"/>
        <v/>
      </c>
      <c r="T393" s="3" t="str">
        <f t="shared" si="4"/>
        <v/>
      </c>
      <c r="U393" s="3">
        <f t="shared" si="12"/>
        <v>100</v>
      </c>
      <c r="V393" s="3">
        <f t="shared" si="6"/>
        <v>100</v>
      </c>
      <c r="W393" s="3">
        <f t="shared" si="7"/>
        <v>100</v>
      </c>
      <c r="X393" s="3" t="str">
        <f t="shared" si="8"/>
        <v/>
      </c>
      <c r="Y393" s="3" t="str">
        <f t="shared" si="9"/>
        <v/>
      </c>
      <c r="Z393" s="3" t="str">
        <f t="shared" si="10"/>
        <v/>
      </c>
      <c r="AA393" s="3">
        <f t="shared" si="11"/>
        <v>0</v>
      </c>
    </row>
    <row r="394">
      <c r="A394" s="1" t="s">
        <v>3567</v>
      </c>
      <c r="B394" s="2" t="s">
        <v>28</v>
      </c>
      <c r="C394" s="2" t="s">
        <v>3568</v>
      </c>
      <c r="D394" s="2" t="s">
        <v>3569</v>
      </c>
      <c r="E394" s="2" t="s">
        <v>3570</v>
      </c>
      <c r="F394" s="2" t="s">
        <v>3571</v>
      </c>
      <c r="G394" s="2" t="s">
        <v>3572</v>
      </c>
      <c r="H394" s="2" t="s">
        <v>3573</v>
      </c>
      <c r="I394" s="2" t="s">
        <v>3574</v>
      </c>
      <c r="J394" s="2" t="s">
        <v>3575</v>
      </c>
      <c r="K394" s="2" t="s">
        <v>3576</v>
      </c>
      <c r="L394" s="2" t="s">
        <v>3577</v>
      </c>
      <c r="M394" s="2" t="s">
        <v>3578</v>
      </c>
      <c r="N394" s="2" t="s">
        <v>3579</v>
      </c>
      <c r="O394" s="2" t="s">
        <v>3580</v>
      </c>
      <c r="P394" s="2" t="s">
        <v>55</v>
      </c>
      <c r="Q394" s="3">
        <f t="shared" si="1"/>
        <v>5</v>
      </c>
      <c r="R394" s="3">
        <f t="shared" si="2"/>
        <v>0.42331016</v>
      </c>
      <c r="S394" s="3">
        <f t="shared" si="3"/>
        <v>0.456065912</v>
      </c>
      <c r="T394" s="3">
        <f t="shared" si="4"/>
        <v>0.231426734</v>
      </c>
      <c r="U394" s="3">
        <f t="shared" si="12"/>
        <v>90</v>
      </c>
      <c r="V394" s="3">
        <f t="shared" si="6"/>
        <v>88</v>
      </c>
      <c r="W394" s="3">
        <f t="shared" si="7"/>
        <v>98</v>
      </c>
      <c r="X394" s="3" t="str">
        <f t="shared" si="8"/>
        <v/>
      </c>
      <c r="Y394" s="3" t="str">
        <f t="shared" si="9"/>
        <v/>
      </c>
      <c r="Z394" s="3" t="str">
        <f t="shared" si="10"/>
        <v/>
      </c>
      <c r="AA394" s="3">
        <f t="shared" si="11"/>
        <v>0.224639178</v>
      </c>
    </row>
    <row r="395">
      <c r="A395" s="1" t="s">
        <v>3567</v>
      </c>
      <c r="B395" s="2" t="s">
        <v>43</v>
      </c>
      <c r="C395" s="2" t="s">
        <v>3581</v>
      </c>
      <c r="D395" s="2" t="s">
        <v>3582</v>
      </c>
      <c r="E395" s="2" t="s">
        <v>3583</v>
      </c>
      <c r="F395" s="2" t="s">
        <v>3584</v>
      </c>
      <c r="G395" s="2" t="s">
        <v>3585</v>
      </c>
      <c r="H395" s="2" t="s">
        <v>3586</v>
      </c>
      <c r="I395" s="2" t="s">
        <v>3587</v>
      </c>
      <c r="J395" s="2" t="s">
        <v>3588</v>
      </c>
      <c r="K395" s="2" t="s">
        <v>3589</v>
      </c>
      <c r="L395" s="2" t="s">
        <v>3590</v>
      </c>
      <c r="M395" s="2" t="s">
        <v>3591</v>
      </c>
      <c r="N395" s="2" t="s">
        <v>3592</v>
      </c>
      <c r="O395" s="2" t="s">
        <v>3593</v>
      </c>
      <c r="P395" s="2" t="s">
        <v>55</v>
      </c>
      <c r="Q395" s="3" t="str">
        <f t="shared" si="1"/>
        <v/>
      </c>
      <c r="R395" s="3" t="str">
        <f t="shared" si="2"/>
        <v/>
      </c>
      <c r="S395" s="3" t="str">
        <f t="shared" si="3"/>
        <v/>
      </c>
      <c r="T395" s="3" t="str">
        <f t="shared" si="4"/>
        <v/>
      </c>
      <c r="U395" s="3">
        <f t="shared" si="12"/>
        <v>92</v>
      </c>
      <c r="V395" s="3">
        <f t="shared" si="6"/>
        <v>91</v>
      </c>
      <c r="W395" s="3">
        <f t="shared" si="7"/>
        <v>100</v>
      </c>
      <c r="X395" s="3" t="str">
        <f t="shared" si="8"/>
        <v/>
      </c>
      <c r="Y395" s="3" t="str">
        <f t="shared" si="9"/>
        <v/>
      </c>
      <c r="Z395" s="3" t="str">
        <f t="shared" si="10"/>
        <v/>
      </c>
      <c r="AA395" s="3">
        <f t="shared" si="11"/>
        <v>0</v>
      </c>
    </row>
    <row r="396">
      <c r="A396" s="1" t="s">
        <v>3594</v>
      </c>
      <c r="B396" s="2" t="s">
        <v>28</v>
      </c>
      <c r="C396" s="2" t="s">
        <v>3595</v>
      </c>
      <c r="D396" s="2" t="s">
        <v>3596</v>
      </c>
      <c r="E396" s="2" t="s">
        <v>3597</v>
      </c>
      <c r="F396" s="2" t="s">
        <v>3598</v>
      </c>
      <c r="G396" s="2" t="s">
        <v>3599</v>
      </c>
      <c r="H396" s="2" t="s">
        <v>3600</v>
      </c>
      <c r="I396" s="2" t="s">
        <v>3601</v>
      </c>
      <c r="J396" s="2" t="s">
        <v>3602</v>
      </c>
      <c r="K396" s="2" t="s">
        <v>3603</v>
      </c>
      <c r="L396" s="2" t="s">
        <v>3604</v>
      </c>
      <c r="M396" s="2" t="s">
        <v>3605</v>
      </c>
      <c r="N396" s="2" t="s">
        <v>3606</v>
      </c>
      <c r="O396" s="2" t="s">
        <v>3607</v>
      </c>
      <c r="P396" s="2" t="s">
        <v>3608</v>
      </c>
      <c r="Q396" s="3">
        <f t="shared" si="1"/>
        <v>5</v>
      </c>
      <c r="R396" s="3">
        <f t="shared" si="2"/>
        <v>0.299684456</v>
      </c>
      <c r="S396" s="3">
        <f t="shared" si="3"/>
        <v>0.298317868</v>
      </c>
      <c r="T396" s="3">
        <f t="shared" si="4"/>
        <v>0.137440398</v>
      </c>
      <c r="U396" s="3">
        <f t="shared" si="12"/>
        <v>59</v>
      </c>
      <c r="V396" s="3">
        <f t="shared" si="6"/>
        <v>52</v>
      </c>
      <c r="W396" s="3">
        <f t="shared" si="7"/>
        <v>73</v>
      </c>
      <c r="X396" s="3" t="str">
        <f t="shared" si="8"/>
        <v/>
      </c>
      <c r="Y396" s="3" t="str">
        <f t="shared" si="9"/>
        <v/>
      </c>
      <c r="Z396" s="3" t="str">
        <f t="shared" si="10"/>
        <v/>
      </c>
      <c r="AA396" s="3">
        <f t="shared" si="11"/>
        <v>0.16087747</v>
      </c>
    </row>
    <row r="397">
      <c r="A397" s="1" t="s">
        <v>3594</v>
      </c>
      <c r="B397" s="2" t="s">
        <v>43</v>
      </c>
      <c r="C397" s="2" t="s">
        <v>3609</v>
      </c>
      <c r="D397" s="2" t="s">
        <v>3610</v>
      </c>
      <c r="E397" s="2" t="s">
        <v>3611</v>
      </c>
      <c r="F397" s="2" t="s">
        <v>3612</v>
      </c>
      <c r="G397" s="2" t="s">
        <v>3613</v>
      </c>
      <c r="H397" s="2" t="s">
        <v>3614</v>
      </c>
      <c r="I397" s="2" t="s">
        <v>3615</v>
      </c>
      <c r="J397" s="2" t="s">
        <v>3616</v>
      </c>
      <c r="K397" s="2" t="s">
        <v>3617</v>
      </c>
      <c r="L397" s="2" t="s">
        <v>3618</v>
      </c>
      <c r="M397" s="2" t="s">
        <v>3619</v>
      </c>
      <c r="N397" s="2" t="s">
        <v>3620</v>
      </c>
      <c r="O397" s="2" t="s">
        <v>55</v>
      </c>
      <c r="P397" s="2" t="s">
        <v>3621</v>
      </c>
      <c r="Q397" s="3" t="str">
        <f t="shared" si="1"/>
        <v/>
      </c>
      <c r="R397" s="3" t="str">
        <f t="shared" si="2"/>
        <v/>
      </c>
      <c r="S397" s="3" t="str">
        <f t="shared" si="3"/>
        <v/>
      </c>
      <c r="T397" s="3" t="str">
        <f t="shared" si="4"/>
        <v/>
      </c>
      <c r="U397" s="3">
        <f t="shared" si="12"/>
        <v>60</v>
      </c>
      <c r="V397" s="3">
        <f t="shared" si="6"/>
        <v>53</v>
      </c>
      <c r="W397" s="3">
        <f t="shared" si="7"/>
        <v>74</v>
      </c>
      <c r="X397" s="3" t="str">
        <f t="shared" si="8"/>
        <v/>
      </c>
      <c r="Y397" s="3" t="str">
        <f t="shared" si="9"/>
        <v/>
      </c>
      <c r="Z397" s="3" t="str">
        <f t="shared" si="10"/>
        <v/>
      </c>
      <c r="AA397" s="3">
        <f t="shared" si="11"/>
        <v>0</v>
      </c>
    </row>
    <row r="398">
      <c r="A398" s="1" t="s">
        <v>3622</v>
      </c>
      <c r="B398" s="2" t="s">
        <v>28</v>
      </c>
      <c r="C398" s="2" t="s">
        <v>3623</v>
      </c>
      <c r="D398" s="2" t="s">
        <v>3624</v>
      </c>
      <c r="E398" s="2" t="s">
        <v>3625</v>
      </c>
      <c r="F398" s="2" t="s">
        <v>3626</v>
      </c>
      <c r="G398" s="2" t="s">
        <v>3627</v>
      </c>
      <c r="H398" s="2" t="s">
        <v>3628</v>
      </c>
      <c r="I398" s="2" t="s">
        <v>3629</v>
      </c>
      <c r="J398" s="2" t="s">
        <v>3630</v>
      </c>
      <c r="K398" s="2" t="s">
        <v>3631</v>
      </c>
      <c r="L398" s="2" t="s">
        <v>3632</v>
      </c>
      <c r="M398" s="2" t="s">
        <v>3633</v>
      </c>
      <c r="N398" s="2" t="s">
        <v>3634</v>
      </c>
      <c r="O398" s="2" t="s">
        <v>3635</v>
      </c>
      <c r="P398" s="2" t="s">
        <v>3636</v>
      </c>
      <c r="Q398" s="3">
        <f t="shared" si="1"/>
        <v>5</v>
      </c>
      <c r="R398" s="3">
        <f t="shared" si="2"/>
        <v>0.4483879</v>
      </c>
      <c r="S398" s="3">
        <f t="shared" si="3"/>
        <v>1.198959262</v>
      </c>
      <c r="T398" s="3">
        <f t="shared" si="4"/>
        <v>0.062090834</v>
      </c>
      <c r="U398" s="3">
        <f t="shared" si="12"/>
        <v>96</v>
      </c>
      <c r="V398" s="3">
        <f t="shared" si="6"/>
        <v>91</v>
      </c>
      <c r="W398" s="3">
        <f t="shared" si="7"/>
        <v>98</v>
      </c>
      <c r="X398" s="3" t="str">
        <f t="shared" si="8"/>
        <v/>
      </c>
      <c r="Y398" s="3" t="str">
        <f t="shared" si="9"/>
        <v/>
      </c>
      <c r="Z398" s="3" t="str">
        <f t="shared" si="10"/>
        <v/>
      </c>
      <c r="AA398" s="3">
        <f t="shared" si="11"/>
        <v>1.136868428</v>
      </c>
    </row>
    <row r="399">
      <c r="A399" s="1" t="s">
        <v>3622</v>
      </c>
      <c r="B399" s="2" t="s">
        <v>43</v>
      </c>
      <c r="C399" s="2" t="s">
        <v>3637</v>
      </c>
      <c r="D399" s="2" t="s">
        <v>3638</v>
      </c>
      <c r="E399" s="2" t="s">
        <v>3639</v>
      </c>
      <c r="F399" s="2" t="s">
        <v>3640</v>
      </c>
      <c r="G399" s="2" t="s">
        <v>3641</v>
      </c>
      <c r="H399" s="2" t="s">
        <v>3642</v>
      </c>
      <c r="I399" s="2" t="s">
        <v>3643</v>
      </c>
      <c r="J399" s="2" t="s">
        <v>3644</v>
      </c>
      <c r="K399" s="2" t="s">
        <v>3645</v>
      </c>
      <c r="L399" s="2" t="s">
        <v>3646</v>
      </c>
      <c r="M399" s="2" t="s">
        <v>3647</v>
      </c>
      <c r="N399" s="2" t="s">
        <v>3648</v>
      </c>
      <c r="O399" s="2" t="s">
        <v>3649</v>
      </c>
      <c r="P399" s="2" t="s">
        <v>55</v>
      </c>
      <c r="Q399" s="3" t="str">
        <f t="shared" si="1"/>
        <v/>
      </c>
      <c r="R399" s="3" t="str">
        <f t="shared" si="2"/>
        <v/>
      </c>
      <c r="S399" s="3" t="str">
        <f t="shared" si="3"/>
        <v/>
      </c>
      <c r="T399" s="3" t="str">
        <f t="shared" si="4"/>
        <v/>
      </c>
      <c r="U399" s="3">
        <f t="shared" si="12"/>
        <v>98</v>
      </c>
      <c r="V399" s="3">
        <f t="shared" si="6"/>
        <v>97</v>
      </c>
      <c r="W399" s="3">
        <f t="shared" si="7"/>
        <v>99</v>
      </c>
      <c r="X399" s="3" t="str">
        <f t="shared" si="8"/>
        <v/>
      </c>
      <c r="Y399" s="3" t="str">
        <f t="shared" si="9"/>
        <v/>
      </c>
      <c r="Z399" s="3" t="str">
        <f t="shared" si="10"/>
        <v/>
      </c>
      <c r="AA399" s="3">
        <f t="shared" si="11"/>
        <v>0</v>
      </c>
    </row>
    <row r="400">
      <c r="A400" s="1" t="s">
        <v>3650</v>
      </c>
      <c r="B400" s="2" t="s">
        <v>28</v>
      </c>
      <c r="C400" s="2" t="s">
        <v>3651</v>
      </c>
      <c r="D400" s="2" t="s">
        <v>3652</v>
      </c>
      <c r="E400" s="2" t="s">
        <v>3653</v>
      </c>
      <c r="F400" s="2" t="s">
        <v>55</v>
      </c>
      <c r="G400" s="2" t="s">
        <v>3654</v>
      </c>
      <c r="H400" s="2" t="s">
        <v>55</v>
      </c>
      <c r="I400" s="2" t="s">
        <v>3655</v>
      </c>
      <c r="J400" s="2" t="s">
        <v>55</v>
      </c>
      <c r="K400" s="2" t="s">
        <v>3656</v>
      </c>
      <c r="L400" s="2" t="s">
        <v>55</v>
      </c>
      <c r="M400" s="2" t="s">
        <v>3657</v>
      </c>
      <c r="N400" s="2" t="s">
        <v>55</v>
      </c>
      <c r="O400" s="2" t="s">
        <v>3658</v>
      </c>
      <c r="P400" s="2" t="s">
        <v>55</v>
      </c>
      <c r="Q400" s="3">
        <f t="shared" si="1"/>
        <v>5</v>
      </c>
      <c r="R400" s="3">
        <f t="shared" si="2"/>
        <v>0.00912732</v>
      </c>
      <c r="S400" s="3">
        <f t="shared" si="3"/>
        <v>0.033877642</v>
      </c>
      <c r="T400" s="3">
        <f t="shared" si="4"/>
        <v>0.004879458</v>
      </c>
      <c r="U400" s="3">
        <f t="shared" si="12"/>
        <v>100</v>
      </c>
      <c r="V400" s="3">
        <f t="shared" si="6"/>
        <v>100</v>
      </c>
      <c r="W400" s="3">
        <f t="shared" si="7"/>
        <v>100</v>
      </c>
      <c r="X400" s="3" t="str">
        <f t="shared" si="8"/>
        <v>full access</v>
      </c>
      <c r="Y400" s="3" t="str">
        <f t="shared" si="9"/>
        <v>full access</v>
      </c>
      <c r="Z400" s="3" t="str">
        <f t="shared" si="10"/>
        <v>full access</v>
      </c>
      <c r="AA400" s="3">
        <f t="shared" si="11"/>
        <v>0.028998184</v>
      </c>
    </row>
    <row r="401">
      <c r="A401" s="1" t="s">
        <v>3650</v>
      </c>
      <c r="B401" s="2" t="s">
        <v>43</v>
      </c>
      <c r="C401" s="2" t="s">
        <v>3659</v>
      </c>
      <c r="D401" s="2" t="s">
        <v>3660</v>
      </c>
      <c r="E401" s="2" t="s">
        <v>3661</v>
      </c>
      <c r="F401" s="2" t="s">
        <v>55</v>
      </c>
      <c r="G401" s="2" t="s">
        <v>3662</v>
      </c>
      <c r="H401" s="2" t="s">
        <v>55</v>
      </c>
      <c r="I401" s="2" t="s">
        <v>3663</v>
      </c>
      <c r="J401" s="2" t="s">
        <v>55</v>
      </c>
      <c r="K401" s="2" t="s">
        <v>3664</v>
      </c>
      <c r="L401" s="2" t="s">
        <v>55</v>
      </c>
      <c r="M401" s="2" t="s">
        <v>3665</v>
      </c>
      <c r="N401" s="2" t="s">
        <v>55</v>
      </c>
      <c r="O401" s="2" t="s">
        <v>3666</v>
      </c>
      <c r="P401" s="2" t="s">
        <v>55</v>
      </c>
      <c r="Q401" s="3" t="str">
        <f t="shared" si="1"/>
        <v/>
      </c>
      <c r="R401" s="3" t="str">
        <f t="shared" si="2"/>
        <v/>
      </c>
      <c r="S401" s="3" t="str">
        <f t="shared" si="3"/>
        <v/>
      </c>
      <c r="T401" s="3" t="str">
        <f t="shared" si="4"/>
        <v/>
      </c>
      <c r="U401" s="3">
        <f t="shared" si="12"/>
        <v>100</v>
      </c>
      <c r="V401" s="3">
        <f t="shared" si="6"/>
        <v>100</v>
      </c>
      <c r="W401" s="3">
        <f t="shared" si="7"/>
        <v>100</v>
      </c>
      <c r="X401" s="3" t="str">
        <f t="shared" si="8"/>
        <v/>
      </c>
      <c r="Y401" s="3" t="str">
        <f t="shared" si="9"/>
        <v/>
      </c>
      <c r="Z401" s="3" t="str">
        <f t="shared" si="10"/>
        <v/>
      </c>
      <c r="AA401" s="3">
        <f t="shared" si="11"/>
        <v>0</v>
      </c>
    </row>
    <row r="402">
      <c r="A402" s="1" t="s">
        <v>3667</v>
      </c>
      <c r="B402" s="2" t="s">
        <v>28</v>
      </c>
      <c r="C402" s="2" t="s">
        <v>3668</v>
      </c>
      <c r="D402" s="2" t="s">
        <v>3669</v>
      </c>
      <c r="E402" s="2" t="s">
        <v>54</v>
      </c>
      <c r="F402" s="2" t="s">
        <v>55</v>
      </c>
      <c r="G402" s="2" t="s">
        <v>55</v>
      </c>
      <c r="H402" s="2" t="s">
        <v>55</v>
      </c>
      <c r="I402" s="2" t="s">
        <v>54</v>
      </c>
      <c r="J402" s="2" t="s">
        <v>55</v>
      </c>
      <c r="K402" s="2" t="s">
        <v>55</v>
      </c>
      <c r="L402" s="2" t="s">
        <v>55</v>
      </c>
      <c r="M402" s="2" t="s">
        <v>54</v>
      </c>
      <c r="N402" s="2" t="s">
        <v>55</v>
      </c>
      <c r="O402" s="2" t="s">
        <v>55</v>
      </c>
      <c r="P402" s="2" t="s">
        <v>55</v>
      </c>
      <c r="Q402" s="3">
        <f t="shared" si="1"/>
        <v>5</v>
      </c>
      <c r="R402" s="3">
        <f t="shared" si="2"/>
        <v>0.0000005600000009</v>
      </c>
      <c r="S402" s="3">
        <f t="shared" si="3"/>
        <v>0</v>
      </c>
      <c r="T402" s="3">
        <f t="shared" si="4"/>
        <v>0</v>
      </c>
      <c r="U402" s="3">
        <f t="shared" si="12"/>
        <v>100</v>
      </c>
      <c r="V402" s="3">
        <f t="shared" si="6"/>
        <v>100</v>
      </c>
      <c r="W402" s="3">
        <f t="shared" si="7"/>
        <v>100</v>
      </c>
      <c r="X402" s="3" t="str">
        <f t="shared" si="8"/>
        <v>full access</v>
      </c>
      <c r="Y402" s="3" t="str">
        <f t="shared" si="9"/>
        <v>full access</v>
      </c>
      <c r="Z402" s="3" t="str">
        <f t="shared" si="10"/>
        <v>full access</v>
      </c>
      <c r="AA402" s="3">
        <f t="shared" si="11"/>
        <v>0</v>
      </c>
    </row>
    <row r="403">
      <c r="A403" s="1" t="s">
        <v>3667</v>
      </c>
      <c r="B403" s="2" t="s">
        <v>43</v>
      </c>
      <c r="C403" s="2" t="s">
        <v>3670</v>
      </c>
      <c r="D403" s="2" t="s">
        <v>3671</v>
      </c>
      <c r="E403" s="2" t="s">
        <v>3672</v>
      </c>
      <c r="F403" s="2" t="s">
        <v>55</v>
      </c>
      <c r="G403" s="2" t="s">
        <v>55</v>
      </c>
      <c r="H403" s="2" t="s">
        <v>55</v>
      </c>
      <c r="I403" s="2" t="s">
        <v>54</v>
      </c>
      <c r="J403" s="2" t="s">
        <v>55</v>
      </c>
      <c r="K403" s="2" t="s">
        <v>55</v>
      </c>
      <c r="L403" s="2" t="s">
        <v>55</v>
      </c>
      <c r="M403" s="2" t="s">
        <v>54</v>
      </c>
      <c r="N403" s="2" t="s">
        <v>55</v>
      </c>
      <c r="O403" s="2" t="s">
        <v>55</v>
      </c>
      <c r="P403" s="2" t="s">
        <v>55</v>
      </c>
      <c r="Q403" s="3" t="str">
        <f t="shared" si="1"/>
        <v/>
      </c>
      <c r="R403" s="3" t="str">
        <f t="shared" si="2"/>
        <v/>
      </c>
      <c r="S403" s="3" t="str">
        <f t="shared" si="3"/>
        <v/>
      </c>
      <c r="T403" s="3" t="str">
        <f t="shared" si="4"/>
        <v/>
      </c>
      <c r="U403" s="3">
        <f t="shared" si="12"/>
        <v>100</v>
      </c>
      <c r="V403" s="3">
        <f t="shared" si="6"/>
        <v>100</v>
      </c>
      <c r="W403" s="3">
        <f t="shared" si="7"/>
        <v>100</v>
      </c>
      <c r="X403" s="3" t="str">
        <f t="shared" si="8"/>
        <v/>
      </c>
      <c r="Y403" s="3" t="str">
        <f t="shared" si="9"/>
        <v/>
      </c>
      <c r="Z403" s="3" t="str">
        <f t="shared" si="10"/>
        <v/>
      </c>
      <c r="AA403" s="3">
        <f t="shared" si="11"/>
        <v>0</v>
      </c>
    </row>
    <row r="404">
      <c r="A404" s="1" t="s">
        <v>3673</v>
      </c>
      <c r="B404" s="2" t="s">
        <v>28</v>
      </c>
      <c r="C404" s="2" t="s">
        <v>3674</v>
      </c>
      <c r="D404" s="2" t="s">
        <v>3675</v>
      </c>
      <c r="E404" s="2" t="s">
        <v>3676</v>
      </c>
      <c r="F404" s="2" t="s">
        <v>3677</v>
      </c>
      <c r="G404" s="2" t="s">
        <v>3678</v>
      </c>
      <c r="H404" s="2" t="s">
        <v>55</v>
      </c>
      <c r="I404" s="2" t="s">
        <v>3679</v>
      </c>
      <c r="J404" s="2" t="s">
        <v>3680</v>
      </c>
      <c r="K404" s="2" t="s">
        <v>3681</v>
      </c>
      <c r="L404" s="2" t="s">
        <v>55</v>
      </c>
      <c r="M404" s="2" t="s">
        <v>3682</v>
      </c>
      <c r="N404" s="2" t="s">
        <v>3683</v>
      </c>
      <c r="O404" s="2" t="s">
        <v>3684</v>
      </c>
      <c r="P404" s="2" t="s">
        <v>55</v>
      </c>
      <c r="Q404" s="3">
        <f t="shared" si="1"/>
        <v>5</v>
      </c>
      <c r="R404" s="3">
        <f t="shared" si="2"/>
        <v>0.08324914</v>
      </c>
      <c r="S404" s="3">
        <f t="shared" si="3"/>
        <v>0.13940798</v>
      </c>
      <c r="T404" s="3">
        <f t="shared" si="4"/>
        <v>-0.010364566</v>
      </c>
      <c r="U404" s="3">
        <f t="shared" si="12"/>
        <v>94</v>
      </c>
      <c r="V404" s="3">
        <f t="shared" si="6"/>
        <v>91</v>
      </c>
      <c r="W404" s="3">
        <f t="shared" si="7"/>
        <v>95</v>
      </c>
      <c r="X404" s="3" t="str">
        <f t="shared" si="8"/>
        <v/>
      </c>
      <c r="Y404" s="3" t="str">
        <f t="shared" si="9"/>
        <v/>
      </c>
      <c r="Z404" s="3" t="str">
        <f t="shared" si="10"/>
        <v/>
      </c>
      <c r="AA404" s="3">
        <f t="shared" si="11"/>
        <v>0.149772546</v>
      </c>
    </row>
    <row r="405">
      <c r="A405" s="1" t="s">
        <v>3673</v>
      </c>
      <c r="B405" s="2" t="s">
        <v>43</v>
      </c>
      <c r="C405" s="2" t="s">
        <v>3685</v>
      </c>
      <c r="D405" s="2" t="s">
        <v>3686</v>
      </c>
      <c r="E405" s="2" t="s">
        <v>3687</v>
      </c>
      <c r="F405" s="2" t="s">
        <v>3688</v>
      </c>
      <c r="G405" s="2" t="s">
        <v>3689</v>
      </c>
      <c r="H405" s="2" t="s">
        <v>55</v>
      </c>
      <c r="I405" s="2" t="s">
        <v>3690</v>
      </c>
      <c r="J405" s="2" t="s">
        <v>3691</v>
      </c>
      <c r="K405" s="2" t="s">
        <v>55</v>
      </c>
      <c r="L405" s="2" t="s">
        <v>55</v>
      </c>
      <c r="M405" s="2" t="s">
        <v>3692</v>
      </c>
      <c r="N405" s="2" t="s">
        <v>3693</v>
      </c>
      <c r="O405" s="2" t="s">
        <v>3694</v>
      </c>
      <c r="P405" s="2" t="s">
        <v>55</v>
      </c>
      <c r="Q405" s="3" t="str">
        <f t="shared" si="1"/>
        <v/>
      </c>
      <c r="R405" s="3" t="str">
        <f t="shared" si="2"/>
        <v/>
      </c>
      <c r="S405" s="3" t="str">
        <f t="shared" si="3"/>
        <v/>
      </c>
      <c r="T405" s="3" t="str">
        <f t="shared" si="4"/>
        <v/>
      </c>
      <c r="U405" s="3">
        <f t="shared" si="12"/>
        <v>94</v>
      </c>
      <c r="V405" s="3">
        <f t="shared" si="6"/>
        <v>92</v>
      </c>
      <c r="W405" s="3">
        <f t="shared" si="7"/>
        <v>95</v>
      </c>
      <c r="X405" s="3" t="str">
        <f t="shared" si="8"/>
        <v/>
      </c>
      <c r="Y405" s="3" t="str">
        <f t="shared" si="9"/>
        <v/>
      </c>
      <c r="Z405" s="3" t="str">
        <f t="shared" si="10"/>
        <v/>
      </c>
      <c r="AA405" s="3">
        <f t="shared" si="11"/>
        <v>0</v>
      </c>
    </row>
    <row r="406">
      <c r="A406" s="1" t="s">
        <v>3695</v>
      </c>
      <c r="B406" s="2" t="s">
        <v>28</v>
      </c>
      <c r="C406" s="2" t="s">
        <v>3696</v>
      </c>
      <c r="D406" s="2" t="s">
        <v>3697</v>
      </c>
      <c r="E406" s="2" t="s">
        <v>3698</v>
      </c>
      <c r="F406" s="2" t="s">
        <v>3699</v>
      </c>
      <c r="G406" s="2" t="s">
        <v>3700</v>
      </c>
      <c r="H406" s="2" t="s">
        <v>3701</v>
      </c>
      <c r="I406" s="2" t="s">
        <v>3702</v>
      </c>
      <c r="J406" s="2" t="s">
        <v>3703</v>
      </c>
      <c r="K406" s="2" t="s">
        <v>3704</v>
      </c>
      <c r="L406" s="2" t="s">
        <v>3705</v>
      </c>
      <c r="M406" s="2" t="s">
        <v>3706</v>
      </c>
      <c r="N406" s="2" t="s">
        <v>3707</v>
      </c>
      <c r="O406" s="2" t="s">
        <v>3708</v>
      </c>
      <c r="P406" s="2" t="s">
        <v>3709</v>
      </c>
      <c r="Q406" s="3">
        <f t="shared" si="1"/>
        <v>5</v>
      </c>
      <c r="R406" s="3">
        <f t="shared" si="2"/>
        <v>1.122583902</v>
      </c>
      <c r="S406" s="3">
        <f t="shared" si="3"/>
        <v>1.418283428</v>
      </c>
      <c r="T406" s="3">
        <f t="shared" si="4"/>
        <v>0.204333694</v>
      </c>
      <c r="U406" s="3">
        <f t="shared" si="12"/>
        <v>76</v>
      </c>
      <c r="V406" s="3">
        <f t="shared" si="6"/>
        <v>70</v>
      </c>
      <c r="W406" s="3">
        <f t="shared" si="7"/>
        <v>95</v>
      </c>
      <c r="X406" s="3" t="str">
        <f t="shared" si="8"/>
        <v/>
      </c>
      <c r="Y406" s="3" t="str">
        <f t="shared" si="9"/>
        <v/>
      </c>
      <c r="Z406" s="3" t="str">
        <f t="shared" si="10"/>
        <v/>
      </c>
      <c r="AA406" s="3">
        <f t="shared" si="11"/>
        <v>1.213949734</v>
      </c>
    </row>
    <row r="407">
      <c r="A407" s="1" t="s">
        <v>3695</v>
      </c>
      <c r="B407" s="2" t="s">
        <v>43</v>
      </c>
      <c r="C407" s="2" t="s">
        <v>3710</v>
      </c>
      <c r="D407" s="2" t="s">
        <v>3711</v>
      </c>
      <c r="E407" s="2" t="s">
        <v>3712</v>
      </c>
      <c r="F407" s="2" t="s">
        <v>3713</v>
      </c>
      <c r="G407" s="2" t="s">
        <v>3714</v>
      </c>
      <c r="H407" s="2" t="s">
        <v>3715</v>
      </c>
      <c r="I407" s="2" t="s">
        <v>3716</v>
      </c>
      <c r="J407" s="2" t="s">
        <v>3717</v>
      </c>
      <c r="K407" s="2" t="s">
        <v>3718</v>
      </c>
      <c r="L407" s="2" t="s">
        <v>3719</v>
      </c>
      <c r="M407" s="2" t="s">
        <v>3720</v>
      </c>
      <c r="N407" s="2" t="s">
        <v>3721</v>
      </c>
      <c r="O407" s="2" t="s">
        <v>3722</v>
      </c>
      <c r="P407" s="2" t="s">
        <v>3723</v>
      </c>
      <c r="Q407" s="3" t="str">
        <f t="shared" si="1"/>
        <v/>
      </c>
      <c r="R407" s="3" t="str">
        <f t="shared" si="2"/>
        <v/>
      </c>
      <c r="S407" s="3" t="str">
        <f t="shared" si="3"/>
        <v/>
      </c>
      <c r="T407" s="3" t="str">
        <f t="shared" si="4"/>
        <v/>
      </c>
      <c r="U407" s="3">
        <f t="shared" si="12"/>
        <v>82</v>
      </c>
      <c r="V407" s="3">
        <f t="shared" si="6"/>
        <v>77</v>
      </c>
      <c r="W407" s="3">
        <f t="shared" si="7"/>
        <v>96</v>
      </c>
      <c r="X407" s="3" t="str">
        <f t="shared" si="8"/>
        <v/>
      </c>
      <c r="Y407" s="3" t="str">
        <f t="shared" si="9"/>
        <v/>
      </c>
      <c r="Z407" s="3" t="str">
        <f t="shared" si="10"/>
        <v/>
      </c>
      <c r="AA407" s="3">
        <f t="shared" si="11"/>
        <v>0</v>
      </c>
    </row>
    <row r="408">
      <c r="A408" s="1" t="s">
        <v>3724</v>
      </c>
      <c r="B408" s="2" t="s">
        <v>28</v>
      </c>
      <c r="C408" s="2" t="s">
        <v>3725</v>
      </c>
      <c r="D408" s="2" t="s">
        <v>3726</v>
      </c>
      <c r="E408" s="2" t="s">
        <v>3727</v>
      </c>
      <c r="F408" s="2" t="s">
        <v>3728</v>
      </c>
      <c r="G408" s="2" t="s">
        <v>3729</v>
      </c>
      <c r="H408" s="2" t="s">
        <v>3730</v>
      </c>
      <c r="I408" s="2" t="s">
        <v>3731</v>
      </c>
      <c r="J408" s="2" t="s">
        <v>3732</v>
      </c>
      <c r="K408" s="2" t="s">
        <v>3733</v>
      </c>
      <c r="L408" s="2" t="s">
        <v>3734</v>
      </c>
      <c r="M408" s="2" t="s">
        <v>3735</v>
      </c>
      <c r="N408" s="2" t="s">
        <v>3736</v>
      </c>
      <c r="O408" s="2" t="s">
        <v>3737</v>
      </c>
      <c r="P408" s="2" t="s">
        <v>55</v>
      </c>
      <c r="Q408" s="3">
        <f t="shared" si="1"/>
        <v>5</v>
      </c>
      <c r="R408" s="3">
        <f t="shared" si="2"/>
        <v>0.148165884</v>
      </c>
      <c r="S408" s="3">
        <f t="shared" si="3"/>
        <v>0.224096658</v>
      </c>
      <c r="T408" s="3">
        <f t="shared" si="4"/>
        <v>0.064892632</v>
      </c>
      <c r="U408" s="3">
        <f t="shared" si="12"/>
        <v>99</v>
      </c>
      <c r="V408" s="3">
        <f t="shared" si="6"/>
        <v>99</v>
      </c>
      <c r="W408" s="3">
        <f t="shared" si="7"/>
        <v>100</v>
      </c>
      <c r="X408" s="3" t="str">
        <f t="shared" si="8"/>
        <v/>
      </c>
      <c r="Y408" s="3" t="str">
        <f t="shared" si="9"/>
        <v/>
      </c>
      <c r="Z408" s="3" t="str">
        <f t="shared" si="10"/>
        <v>full access</v>
      </c>
      <c r="AA408" s="3">
        <f t="shared" si="11"/>
        <v>0.159204026</v>
      </c>
    </row>
    <row r="409">
      <c r="A409" s="1" t="s">
        <v>3724</v>
      </c>
      <c r="B409" s="2" t="s">
        <v>43</v>
      </c>
      <c r="C409" s="2" t="s">
        <v>3738</v>
      </c>
      <c r="D409" s="2" t="s">
        <v>3739</v>
      </c>
      <c r="E409" s="2" t="s">
        <v>54</v>
      </c>
      <c r="F409" s="2" t="s">
        <v>55</v>
      </c>
      <c r="G409" s="2" t="s">
        <v>55</v>
      </c>
      <c r="H409" s="2" t="s">
        <v>55</v>
      </c>
      <c r="I409" s="2" t="s">
        <v>54</v>
      </c>
      <c r="J409" s="2" t="s">
        <v>55</v>
      </c>
      <c r="K409" s="2" t="s">
        <v>55</v>
      </c>
      <c r="L409" s="2" t="s">
        <v>55</v>
      </c>
      <c r="M409" s="2" t="s">
        <v>54</v>
      </c>
      <c r="N409" s="2" t="s">
        <v>55</v>
      </c>
      <c r="O409" s="2" t="s">
        <v>55</v>
      </c>
      <c r="P409" s="2" t="s">
        <v>55</v>
      </c>
      <c r="Q409" s="3" t="str">
        <f t="shared" si="1"/>
        <v/>
      </c>
      <c r="R409" s="3" t="str">
        <f t="shared" si="2"/>
        <v/>
      </c>
      <c r="S409" s="3" t="str">
        <f t="shared" si="3"/>
        <v/>
      </c>
      <c r="T409" s="3" t="str">
        <f t="shared" si="4"/>
        <v/>
      </c>
      <c r="U409" s="3">
        <f t="shared" si="12"/>
        <v>100</v>
      </c>
      <c r="V409" s="3">
        <f t="shared" si="6"/>
        <v>100</v>
      </c>
      <c r="W409" s="3">
        <f t="shared" si="7"/>
        <v>100</v>
      </c>
      <c r="X409" s="3" t="str">
        <f t="shared" si="8"/>
        <v/>
      </c>
      <c r="Y409" s="3" t="str">
        <f t="shared" si="9"/>
        <v/>
      </c>
      <c r="Z409" s="3" t="str">
        <f t="shared" si="10"/>
        <v/>
      </c>
      <c r="AA409" s="3">
        <f t="shared" si="11"/>
        <v>0</v>
      </c>
    </row>
    <row r="410">
      <c r="A410" s="1" t="s">
        <v>3740</v>
      </c>
      <c r="B410" s="2" t="s">
        <v>28</v>
      </c>
      <c r="C410" s="2" t="s">
        <v>3741</v>
      </c>
      <c r="D410" s="2" t="s">
        <v>3742</v>
      </c>
      <c r="E410" s="2" t="s">
        <v>3743</v>
      </c>
      <c r="F410" s="2" t="s">
        <v>3744</v>
      </c>
      <c r="G410" s="2" t="s">
        <v>3745</v>
      </c>
      <c r="H410" s="2" t="s">
        <v>3746</v>
      </c>
      <c r="I410" s="2" t="s">
        <v>3747</v>
      </c>
      <c r="J410" s="2" t="s">
        <v>3748</v>
      </c>
      <c r="K410" s="2" t="s">
        <v>3749</v>
      </c>
      <c r="L410" s="2" t="s">
        <v>3750</v>
      </c>
      <c r="M410" s="2" t="s">
        <v>3751</v>
      </c>
      <c r="N410" s="2" t="s">
        <v>3752</v>
      </c>
      <c r="O410" s="2" t="s">
        <v>3753</v>
      </c>
      <c r="P410" s="2" t="s">
        <v>3754</v>
      </c>
      <c r="Q410" s="3">
        <f t="shared" si="1"/>
        <v>5</v>
      </c>
      <c r="R410" s="3">
        <f t="shared" si="2"/>
        <v>2.049099498</v>
      </c>
      <c r="S410" s="3">
        <f t="shared" si="3"/>
        <v>2.305681174</v>
      </c>
      <c r="T410" s="3">
        <f t="shared" si="4"/>
        <v>1.237175338</v>
      </c>
      <c r="U410" s="3">
        <f t="shared" si="12"/>
        <v>75</v>
      </c>
      <c r="V410" s="3">
        <f t="shared" si="6"/>
        <v>69</v>
      </c>
      <c r="W410" s="3">
        <f t="shared" si="7"/>
        <v>90</v>
      </c>
      <c r="X410" s="3" t="str">
        <f t="shared" si="8"/>
        <v/>
      </c>
      <c r="Y410" s="3" t="str">
        <f t="shared" si="9"/>
        <v/>
      </c>
      <c r="Z410" s="3" t="str">
        <f t="shared" si="10"/>
        <v/>
      </c>
      <c r="AA410" s="3">
        <f t="shared" si="11"/>
        <v>1.068505836</v>
      </c>
    </row>
    <row r="411">
      <c r="A411" s="1" t="s">
        <v>3740</v>
      </c>
      <c r="B411" s="2" t="s">
        <v>43</v>
      </c>
      <c r="C411" s="2" t="s">
        <v>3755</v>
      </c>
      <c r="D411" s="2" t="s">
        <v>3756</v>
      </c>
      <c r="E411" s="2" t="s">
        <v>3757</v>
      </c>
      <c r="F411" s="2" t="s">
        <v>3758</v>
      </c>
      <c r="G411" s="2" t="s">
        <v>3759</v>
      </c>
      <c r="H411" s="2" t="s">
        <v>3760</v>
      </c>
      <c r="I411" s="2" t="s">
        <v>3761</v>
      </c>
      <c r="J411" s="2" t="s">
        <v>3762</v>
      </c>
      <c r="K411" s="2" t="s">
        <v>3763</v>
      </c>
      <c r="L411" s="2" t="s">
        <v>3764</v>
      </c>
      <c r="M411" s="2" t="s">
        <v>3765</v>
      </c>
      <c r="N411" s="2" t="s">
        <v>3766</v>
      </c>
      <c r="O411" s="2" t="s">
        <v>3767</v>
      </c>
      <c r="P411" s="2" t="s">
        <v>55</v>
      </c>
      <c r="Q411" s="3" t="str">
        <f t="shared" si="1"/>
        <v/>
      </c>
      <c r="R411" s="3" t="str">
        <f t="shared" si="2"/>
        <v/>
      </c>
      <c r="S411" s="3" t="str">
        <f t="shared" si="3"/>
        <v/>
      </c>
      <c r="T411" s="3" t="str">
        <f t="shared" si="4"/>
        <v/>
      </c>
      <c r="U411" s="3">
        <f t="shared" si="12"/>
        <v>85</v>
      </c>
      <c r="V411" s="3">
        <f t="shared" si="6"/>
        <v>80</v>
      </c>
      <c r="W411" s="3">
        <f t="shared" si="7"/>
        <v>96</v>
      </c>
      <c r="X411" s="3" t="str">
        <f t="shared" si="8"/>
        <v/>
      </c>
      <c r="Y411" s="3" t="str">
        <f t="shared" si="9"/>
        <v/>
      </c>
      <c r="Z411" s="3" t="str">
        <f t="shared" si="10"/>
        <v/>
      </c>
      <c r="AA411" s="3">
        <f t="shared" si="11"/>
        <v>0</v>
      </c>
    </row>
    <row r="412">
      <c r="A412" s="1" t="s">
        <v>3768</v>
      </c>
      <c r="B412" s="2" t="s">
        <v>28</v>
      </c>
      <c r="C412" s="2" t="s">
        <v>3769</v>
      </c>
      <c r="D412" s="2" t="s">
        <v>3770</v>
      </c>
      <c r="E412" s="2" t="s">
        <v>3771</v>
      </c>
      <c r="F412" s="2" t="s">
        <v>3772</v>
      </c>
      <c r="G412" s="2" t="s">
        <v>3773</v>
      </c>
      <c r="H412" s="2" t="s">
        <v>3774</v>
      </c>
      <c r="I412" s="2" t="s">
        <v>3775</v>
      </c>
      <c r="J412" s="2" t="s">
        <v>3776</v>
      </c>
      <c r="K412" s="2" t="s">
        <v>3777</v>
      </c>
      <c r="L412" s="2" t="s">
        <v>3778</v>
      </c>
      <c r="M412" s="2" t="s">
        <v>3779</v>
      </c>
      <c r="N412" s="2" t="s">
        <v>3780</v>
      </c>
      <c r="O412" s="2" t="s">
        <v>3781</v>
      </c>
      <c r="P412" s="2" t="s">
        <v>3782</v>
      </c>
      <c r="Q412" s="3">
        <f t="shared" si="1"/>
        <v>5</v>
      </c>
      <c r="R412" s="3">
        <f t="shared" si="2"/>
        <v>0.989318748</v>
      </c>
      <c r="S412" s="3">
        <f t="shared" si="3"/>
        <v>0.975073894</v>
      </c>
      <c r="T412" s="3">
        <f t="shared" si="4"/>
        <v>0.492516062</v>
      </c>
      <c r="U412" s="3">
        <f t="shared" si="12"/>
        <v>64</v>
      </c>
      <c r="V412" s="3">
        <f t="shared" si="6"/>
        <v>47</v>
      </c>
      <c r="W412" s="3">
        <f t="shared" si="7"/>
        <v>88</v>
      </c>
      <c r="X412" s="3" t="str">
        <f t="shared" si="8"/>
        <v/>
      </c>
      <c r="Y412" s="3" t="str">
        <f t="shared" si="9"/>
        <v/>
      </c>
      <c r="Z412" s="3" t="str">
        <f t="shared" si="10"/>
        <v/>
      </c>
      <c r="AA412" s="3">
        <f t="shared" si="11"/>
        <v>0.482557832</v>
      </c>
    </row>
    <row r="413">
      <c r="A413" s="1" t="s">
        <v>3768</v>
      </c>
      <c r="B413" s="2" t="s">
        <v>43</v>
      </c>
      <c r="C413" s="2" t="s">
        <v>3783</v>
      </c>
      <c r="D413" s="2" t="s">
        <v>3784</v>
      </c>
      <c r="E413" s="2" t="s">
        <v>3785</v>
      </c>
      <c r="F413" s="2" t="s">
        <v>3786</v>
      </c>
      <c r="G413" s="2" t="s">
        <v>3787</v>
      </c>
      <c r="H413" s="2" t="s">
        <v>3788</v>
      </c>
      <c r="I413" s="2" t="s">
        <v>3789</v>
      </c>
      <c r="J413" s="2" t="s">
        <v>3790</v>
      </c>
      <c r="K413" s="2" t="s">
        <v>3791</v>
      </c>
      <c r="L413" s="2" t="s">
        <v>3792</v>
      </c>
      <c r="M413" s="2" t="s">
        <v>3793</v>
      </c>
      <c r="N413" s="2" t="s">
        <v>3794</v>
      </c>
      <c r="O413" s="2" t="s">
        <v>3795</v>
      </c>
      <c r="P413" s="2" t="s">
        <v>3796</v>
      </c>
      <c r="Q413" s="3" t="str">
        <f t="shared" si="1"/>
        <v/>
      </c>
      <c r="R413" s="3" t="str">
        <f t="shared" si="2"/>
        <v/>
      </c>
      <c r="S413" s="3" t="str">
        <f t="shared" si="3"/>
        <v/>
      </c>
      <c r="T413" s="3" t="str">
        <f t="shared" si="4"/>
        <v/>
      </c>
      <c r="U413" s="3">
        <f t="shared" si="12"/>
        <v>69</v>
      </c>
      <c r="V413" s="3">
        <f t="shared" si="6"/>
        <v>52</v>
      </c>
      <c r="W413" s="3">
        <f t="shared" si="7"/>
        <v>91</v>
      </c>
      <c r="X413" s="3" t="str">
        <f t="shared" si="8"/>
        <v/>
      </c>
      <c r="Y413" s="3" t="str">
        <f t="shared" si="9"/>
        <v/>
      </c>
      <c r="Z413" s="3" t="str">
        <f t="shared" si="10"/>
        <v/>
      </c>
      <c r="AA413" s="3">
        <f t="shared" si="11"/>
        <v>0</v>
      </c>
    </row>
    <row r="414">
      <c r="A414" s="1" t="s">
        <v>3797</v>
      </c>
      <c r="B414" s="2" t="s">
        <v>28</v>
      </c>
      <c r="C414" s="2" t="s">
        <v>3798</v>
      </c>
      <c r="D414" s="2" t="s">
        <v>55</v>
      </c>
      <c r="E414" s="2" t="s">
        <v>3799</v>
      </c>
      <c r="F414" s="2" t="s">
        <v>55</v>
      </c>
      <c r="G414" s="2" t="s">
        <v>3800</v>
      </c>
      <c r="H414" s="2" t="s">
        <v>55</v>
      </c>
      <c r="I414" s="2" t="s">
        <v>3799</v>
      </c>
      <c r="J414" s="2" t="s">
        <v>55</v>
      </c>
      <c r="K414" s="2" t="s">
        <v>3800</v>
      </c>
      <c r="L414" s="2" t="s">
        <v>55</v>
      </c>
      <c r="M414" s="1" t="s">
        <v>112</v>
      </c>
      <c r="N414" s="1" t="s">
        <v>112</v>
      </c>
      <c r="O414" s="1" t="s">
        <v>112</v>
      </c>
      <c r="P414" s="1" t="s">
        <v>112</v>
      </c>
      <c r="Q414" s="3">
        <f t="shared" si="1"/>
        <v>5</v>
      </c>
      <c r="R414" s="3">
        <f t="shared" si="2"/>
        <v>0.05005613</v>
      </c>
      <c r="S414" s="3">
        <f t="shared" si="3"/>
        <v>0.05005613</v>
      </c>
      <c r="T414" s="3" t="str">
        <f t="shared" si="4"/>
        <v/>
      </c>
      <c r="U414" s="3">
        <f t="shared" si="12"/>
        <v>99</v>
      </c>
      <c r="V414" s="3">
        <f t="shared" si="6"/>
        <v>99</v>
      </c>
      <c r="W414" s="3">
        <f t="shared" si="7"/>
        <v>0</v>
      </c>
      <c r="X414" s="3" t="str">
        <f t="shared" si="8"/>
        <v/>
      </c>
      <c r="Y414" s="3" t="str">
        <f t="shared" si="9"/>
        <v/>
      </c>
      <c r="Z414" s="3" t="str">
        <f t="shared" si="10"/>
        <v/>
      </c>
      <c r="AA414" s="3">
        <f t="shared" si="11"/>
        <v>0.05005613</v>
      </c>
    </row>
    <row r="415">
      <c r="A415" s="1" t="s">
        <v>3797</v>
      </c>
      <c r="B415" s="2" t="s">
        <v>43</v>
      </c>
      <c r="C415" s="2" t="s">
        <v>3801</v>
      </c>
      <c r="D415" s="2" t="s">
        <v>55</v>
      </c>
      <c r="E415" s="2" t="s">
        <v>3802</v>
      </c>
      <c r="F415" s="2" t="s">
        <v>55</v>
      </c>
      <c r="G415" s="2" t="s">
        <v>3803</v>
      </c>
      <c r="H415" s="2" t="s">
        <v>55</v>
      </c>
      <c r="I415" s="2" t="s">
        <v>3802</v>
      </c>
      <c r="J415" s="2" t="s">
        <v>55</v>
      </c>
      <c r="K415" s="2" t="s">
        <v>3803</v>
      </c>
      <c r="L415" s="2" t="s">
        <v>55</v>
      </c>
      <c r="M415" s="1" t="s">
        <v>112</v>
      </c>
      <c r="N415" s="1" t="s">
        <v>112</v>
      </c>
      <c r="O415" s="1" t="s">
        <v>112</v>
      </c>
      <c r="P415" s="1" t="s">
        <v>112</v>
      </c>
      <c r="Q415" s="3" t="str">
        <f t="shared" si="1"/>
        <v/>
      </c>
      <c r="R415" s="3" t="str">
        <f t="shared" si="2"/>
        <v/>
      </c>
      <c r="S415" s="3" t="str">
        <f t="shared" si="3"/>
        <v/>
      </c>
      <c r="T415" s="3" t="str">
        <f t="shared" si="4"/>
        <v/>
      </c>
      <c r="U415" s="3">
        <f t="shared" si="12"/>
        <v>100</v>
      </c>
      <c r="V415" s="3">
        <f t="shared" si="6"/>
        <v>100</v>
      </c>
      <c r="W415" s="3">
        <f t="shared" si="7"/>
        <v>0</v>
      </c>
      <c r="X415" s="3" t="str">
        <f t="shared" si="8"/>
        <v/>
      </c>
      <c r="Y415" s="3" t="str">
        <f t="shared" si="9"/>
        <v/>
      </c>
      <c r="Z415" s="3" t="str">
        <f t="shared" si="10"/>
        <v/>
      </c>
      <c r="AA415" s="3">
        <f t="shared" si="11"/>
        <v>0</v>
      </c>
    </row>
    <row r="416">
      <c r="A416" s="1" t="s">
        <v>3804</v>
      </c>
      <c r="B416" s="2" t="s">
        <v>28</v>
      </c>
      <c r="C416" s="2" t="s">
        <v>3805</v>
      </c>
      <c r="D416" s="2" t="s">
        <v>3806</v>
      </c>
      <c r="E416" s="2" t="s">
        <v>3807</v>
      </c>
      <c r="F416" s="2" t="s">
        <v>3808</v>
      </c>
      <c r="G416" s="2" t="s">
        <v>3809</v>
      </c>
      <c r="H416" s="2" t="s">
        <v>55</v>
      </c>
      <c r="I416" s="2" t="s">
        <v>3810</v>
      </c>
      <c r="J416" s="2" t="s">
        <v>3811</v>
      </c>
      <c r="K416" s="2" t="s">
        <v>3812</v>
      </c>
      <c r="L416" s="2" t="s">
        <v>55</v>
      </c>
      <c r="M416" s="2" t="s">
        <v>3813</v>
      </c>
      <c r="N416" s="2" t="s">
        <v>3814</v>
      </c>
      <c r="O416" s="2" t="s">
        <v>3815</v>
      </c>
      <c r="P416" s="2" t="s">
        <v>55</v>
      </c>
      <c r="Q416" s="3">
        <f t="shared" si="1"/>
        <v>5</v>
      </c>
      <c r="R416" s="3">
        <f t="shared" si="2"/>
        <v>0.036275096</v>
      </c>
      <c r="S416" s="3">
        <f t="shared" si="3"/>
        <v>0.015006062</v>
      </c>
      <c r="T416" s="3">
        <f t="shared" si="4"/>
        <v>0.108109526</v>
      </c>
      <c r="U416" s="3">
        <f t="shared" si="12"/>
        <v>99</v>
      </c>
      <c r="V416" s="3">
        <f t="shared" si="6"/>
        <v>98</v>
      </c>
      <c r="W416" s="3">
        <f t="shared" si="7"/>
        <v>99</v>
      </c>
      <c r="X416" s="3" t="str">
        <f t="shared" si="8"/>
        <v/>
      </c>
      <c r="Y416" s="3" t="str">
        <f t="shared" si="9"/>
        <v/>
      </c>
      <c r="Z416" s="3" t="str">
        <f t="shared" si="10"/>
        <v/>
      </c>
      <c r="AA416" s="3">
        <f t="shared" si="11"/>
        <v>-0.093103464</v>
      </c>
    </row>
    <row r="417">
      <c r="A417" s="1" t="s">
        <v>3804</v>
      </c>
      <c r="B417" s="2" t="s">
        <v>43</v>
      </c>
      <c r="C417" s="2" t="s">
        <v>3816</v>
      </c>
      <c r="D417" s="2" t="s">
        <v>3817</v>
      </c>
      <c r="E417" s="2" t="s">
        <v>3818</v>
      </c>
      <c r="F417" s="2" t="s">
        <v>3819</v>
      </c>
      <c r="G417" s="2" t="s">
        <v>3820</v>
      </c>
      <c r="H417" s="2" t="s">
        <v>55</v>
      </c>
      <c r="I417" s="2" t="s">
        <v>3821</v>
      </c>
      <c r="J417" s="2" t="s">
        <v>3822</v>
      </c>
      <c r="K417" s="2" t="s">
        <v>3823</v>
      </c>
      <c r="L417" s="2" t="s">
        <v>55</v>
      </c>
      <c r="M417" s="2" t="s">
        <v>3824</v>
      </c>
      <c r="N417" s="2" t="s">
        <v>3825</v>
      </c>
      <c r="O417" s="2" t="s">
        <v>3826</v>
      </c>
      <c r="P417" s="2" t="s">
        <v>55</v>
      </c>
      <c r="Q417" s="3" t="str">
        <f t="shared" si="1"/>
        <v/>
      </c>
      <c r="R417" s="3" t="str">
        <f t="shared" si="2"/>
        <v/>
      </c>
      <c r="S417" s="3" t="str">
        <f t="shared" si="3"/>
        <v/>
      </c>
      <c r="T417" s="3" t="str">
        <f t="shared" si="4"/>
        <v/>
      </c>
      <c r="U417" s="3">
        <f t="shared" si="12"/>
        <v>99</v>
      </c>
      <c r="V417" s="3">
        <f t="shared" si="6"/>
        <v>98</v>
      </c>
      <c r="W417" s="3">
        <f t="shared" si="7"/>
        <v>100</v>
      </c>
      <c r="X417" s="3" t="str">
        <f t="shared" si="8"/>
        <v/>
      </c>
      <c r="Y417" s="3" t="str">
        <f t="shared" si="9"/>
        <v/>
      </c>
      <c r="Z417" s="3" t="str">
        <f t="shared" si="10"/>
        <v/>
      </c>
      <c r="AA417" s="3">
        <f t="shared" si="11"/>
        <v>0</v>
      </c>
    </row>
    <row r="418">
      <c r="A418" s="1" t="s">
        <v>3827</v>
      </c>
      <c r="B418" s="2" t="s">
        <v>28</v>
      </c>
      <c r="C418" s="2" t="s">
        <v>3828</v>
      </c>
      <c r="D418" s="2" t="s">
        <v>3829</v>
      </c>
      <c r="E418" s="2" t="s">
        <v>3830</v>
      </c>
      <c r="F418" s="2" t="s">
        <v>3831</v>
      </c>
      <c r="G418" s="2" t="s">
        <v>3832</v>
      </c>
      <c r="H418" s="2" t="s">
        <v>3833</v>
      </c>
      <c r="I418" s="1" t="s">
        <v>112</v>
      </c>
      <c r="J418" s="1" t="s">
        <v>112</v>
      </c>
      <c r="K418" s="1" t="s">
        <v>112</v>
      </c>
      <c r="L418" s="1" t="s">
        <v>112</v>
      </c>
      <c r="M418" s="1" t="s">
        <v>112</v>
      </c>
      <c r="N418" s="1" t="s">
        <v>112</v>
      </c>
      <c r="O418" s="1" t="s">
        <v>112</v>
      </c>
      <c r="P418" s="1" t="s">
        <v>112</v>
      </c>
      <c r="Q418" s="3">
        <f t="shared" si="1"/>
        <v>5</v>
      </c>
      <c r="R418" s="3">
        <f t="shared" si="2"/>
        <v>0.147798624</v>
      </c>
      <c r="S418" s="3" t="str">
        <f t="shared" si="3"/>
        <v/>
      </c>
      <c r="T418" s="3" t="str">
        <f t="shared" si="4"/>
        <v/>
      </c>
      <c r="U418" s="3">
        <f t="shared" si="12"/>
        <v>98</v>
      </c>
      <c r="V418" s="3">
        <f t="shared" si="6"/>
        <v>0</v>
      </c>
      <c r="W418" s="3">
        <f t="shared" si="7"/>
        <v>0</v>
      </c>
      <c r="X418" s="3" t="str">
        <f t="shared" si="8"/>
        <v/>
      </c>
      <c r="Y418" s="3" t="str">
        <f t="shared" si="9"/>
        <v/>
      </c>
      <c r="Z418" s="3" t="str">
        <f t="shared" si="10"/>
        <v/>
      </c>
      <c r="AA418" s="3">
        <f t="shared" si="11"/>
        <v>0</v>
      </c>
    </row>
    <row r="419">
      <c r="A419" s="1" t="s">
        <v>3827</v>
      </c>
      <c r="B419" s="2" t="s">
        <v>43</v>
      </c>
      <c r="C419" s="2" t="s">
        <v>3834</v>
      </c>
      <c r="D419" s="2" t="s">
        <v>3835</v>
      </c>
      <c r="E419" s="2" t="s">
        <v>3836</v>
      </c>
      <c r="F419" s="2" t="s">
        <v>3837</v>
      </c>
      <c r="G419" s="2" t="s">
        <v>55</v>
      </c>
      <c r="H419" s="2" t="s">
        <v>55</v>
      </c>
      <c r="I419" s="1" t="s">
        <v>112</v>
      </c>
      <c r="J419" s="1" t="s">
        <v>112</v>
      </c>
      <c r="K419" s="1" t="s">
        <v>112</v>
      </c>
      <c r="L419" s="1" t="s">
        <v>112</v>
      </c>
      <c r="M419" s="1" t="s">
        <v>112</v>
      </c>
      <c r="N419" s="1" t="s">
        <v>112</v>
      </c>
      <c r="O419" s="1" t="s">
        <v>112</v>
      </c>
      <c r="P419" s="1" t="s">
        <v>112</v>
      </c>
      <c r="Q419" s="3" t="str">
        <f t="shared" si="1"/>
        <v/>
      </c>
      <c r="R419" s="3" t="str">
        <f t="shared" si="2"/>
        <v/>
      </c>
      <c r="S419" s="3" t="str">
        <f t="shared" si="3"/>
        <v/>
      </c>
      <c r="T419" s="3" t="str">
        <f t="shared" si="4"/>
        <v/>
      </c>
      <c r="U419" s="3">
        <f t="shared" si="12"/>
        <v>99</v>
      </c>
      <c r="V419" s="3">
        <f t="shared" si="6"/>
        <v>0</v>
      </c>
      <c r="W419" s="3">
        <f t="shared" si="7"/>
        <v>0</v>
      </c>
      <c r="X419" s="3" t="str">
        <f t="shared" si="8"/>
        <v/>
      </c>
      <c r="Y419" s="3" t="str">
        <f t="shared" si="9"/>
        <v/>
      </c>
      <c r="Z419" s="3" t="str">
        <f t="shared" si="10"/>
        <v/>
      </c>
      <c r="AA419" s="3">
        <f t="shared" si="11"/>
        <v>0</v>
      </c>
    </row>
    <row r="420">
      <c r="A420" s="1" t="s">
        <v>3838</v>
      </c>
      <c r="B420" s="2" t="s">
        <v>28</v>
      </c>
      <c r="C420" s="2" t="s">
        <v>3839</v>
      </c>
      <c r="D420" s="2" t="s">
        <v>3840</v>
      </c>
      <c r="E420" s="2" t="s">
        <v>3841</v>
      </c>
      <c r="F420" s="2" t="s">
        <v>3842</v>
      </c>
      <c r="G420" s="2" t="s">
        <v>3843</v>
      </c>
      <c r="H420" s="2" t="s">
        <v>3844</v>
      </c>
      <c r="I420" s="2" t="s">
        <v>3845</v>
      </c>
      <c r="J420" s="2" t="s">
        <v>3846</v>
      </c>
      <c r="K420" s="2" t="s">
        <v>3847</v>
      </c>
      <c r="L420" s="2" t="s">
        <v>3848</v>
      </c>
      <c r="M420" s="2" t="s">
        <v>3849</v>
      </c>
      <c r="N420" s="2" t="s">
        <v>3850</v>
      </c>
      <c r="O420" s="2" t="s">
        <v>3851</v>
      </c>
      <c r="P420" s="2" t="s">
        <v>55</v>
      </c>
      <c r="Q420" s="3">
        <f t="shared" si="1"/>
        <v>5</v>
      </c>
      <c r="R420" s="3">
        <f t="shared" si="2"/>
        <v>0.539570778</v>
      </c>
      <c r="S420" s="3">
        <f t="shared" si="3"/>
        <v>1.669111792</v>
      </c>
      <c r="T420" s="3">
        <f t="shared" si="4"/>
        <v>-0.013650062</v>
      </c>
      <c r="U420" s="3">
        <f t="shared" si="12"/>
        <v>95</v>
      </c>
      <c r="V420" s="3">
        <f t="shared" si="6"/>
        <v>86</v>
      </c>
      <c r="W420" s="3">
        <f t="shared" si="7"/>
        <v>99</v>
      </c>
      <c r="X420" s="3" t="str">
        <f t="shared" si="8"/>
        <v/>
      </c>
      <c r="Y420" s="3" t="str">
        <f t="shared" si="9"/>
        <v/>
      </c>
      <c r="Z420" s="3" t="str">
        <f t="shared" si="10"/>
        <v/>
      </c>
      <c r="AA420" s="3">
        <f t="shared" si="11"/>
        <v>1.682761854</v>
      </c>
    </row>
    <row r="421">
      <c r="A421" s="1" t="s">
        <v>3838</v>
      </c>
      <c r="B421" s="2" t="s">
        <v>43</v>
      </c>
      <c r="C421" s="2" t="s">
        <v>3852</v>
      </c>
      <c r="D421" s="2" t="s">
        <v>3853</v>
      </c>
      <c r="E421" s="2" t="s">
        <v>3854</v>
      </c>
      <c r="F421" s="2" t="s">
        <v>3855</v>
      </c>
      <c r="G421" s="2" t="s">
        <v>3856</v>
      </c>
      <c r="H421" s="2" t="s">
        <v>55</v>
      </c>
      <c r="I421" s="2" t="s">
        <v>3857</v>
      </c>
      <c r="J421" s="2" t="s">
        <v>3858</v>
      </c>
      <c r="K421" s="2" t="s">
        <v>3859</v>
      </c>
      <c r="L421" s="2" t="s">
        <v>55</v>
      </c>
      <c r="M421" s="2" t="s">
        <v>3860</v>
      </c>
      <c r="N421" s="2" t="s">
        <v>3861</v>
      </c>
      <c r="O421" s="2" t="s">
        <v>55</v>
      </c>
      <c r="P421" s="2" t="s">
        <v>55</v>
      </c>
      <c r="Q421" s="3" t="str">
        <f t="shared" si="1"/>
        <v/>
      </c>
      <c r="R421" s="3" t="str">
        <f t="shared" si="2"/>
        <v/>
      </c>
      <c r="S421" s="3" t="str">
        <f t="shared" si="3"/>
        <v/>
      </c>
      <c r="T421" s="3" t="str">
        <f t="shared" si="4"/>
        <v/>
      </c>
      <c r="U421" s="3">
        <f t="shared" si="12"/>
        <v>98</v>
      </c>
      <c r="V421" s="3">
        <f t="shared" si="6"/>
        <v>94</v>
      </c>
      <c r="W421" s="3">
        <f t="shared" si="7"/>
        <v>99</v>
      </c>
      <c r="X421" s="3" t="str">
        <f t="shared" si="8"/>
        <v/>
      </c>
      <c r="Y421" s="3" t="str">
        <f t="shared" si="9"/>
        <v/>
      </c>
      <c r="Z421" s="3" t="str">
        <f t="shared" si="10"/>
        <v/>
      </c>
      <c r="AA421" s="3">
        <f t="shared" si="11"/>
        <v>0</v>
      </c>
    </row>
    <row r="422">
      <c r="A422" s="1" t="s">
        <v>3862</v>
      </c>
      <c r="B422" s="2" t="s">
        <v>28</v>
      </c>
      <c r="C422" s="2" t="s">
        <v>3863</v>
      </c>
      <c r="D422" s="2" t="s">
        <v>3864</v>
      </c>
      <c r="E422" s="2" t="s">
        <v>3865</v>
      </c>
      <c r="F422" s="2" t="s">
        <v>3866</v>
      </c>
      <c r="G422" s="2" t="s">
        <v>3867</v>
      </c>
      <c r="H422" s="2" t="s">
        <v>3868</v>
      </c>
      <c r="I422" s="2" t="s">
        <v>3869</v>
      </c>
      <c r="J422" s="2" t="s">
        <v>3870</v>
      </c>
      <c r="K422" s="2" t="s">
        <v>3871</v>
      </c>
      <c r="L422" s="2" t="s">
        <v>3872</v>
      </c>
      <c r="M422" s="2" t="s">
        <v>3873</v>
      </c>
      <c r="N422" s="2" t="s">
        <v>3874</v>
      </c>
      <c r="O422" s="2" t="s">
        <v>3875</v>
      </c>
      <c r="P422" s="2" t="s">
        <v>3876</v>
      </c>
      <c r="Q422" s="3">
        <f t="shared" si="1"/>
        <v>5</v>
      </c>
      <c r="R422" s="3">
        <f t="shared" si="2"/>
        <v>0.151622008</v>
      </c>
      <c r="S422" s="3">
        <f t="shared" si="3"/>
        <v>0.364257356</v>
      </c>
      <c r="T422" s="3">
        <f t="shared" si="4"/>
        <v>0.066586558</v>
      </c>
      <c r="U422" s="3">
        <f t="shared" si="12"/>
        <v>96</v>
      </c>
      <c r="V422" s="3">
        <f t="shared" si="6"/>
        <v>94</v>
      </c>
      <c r="W422" s="3">
        <f t="shared" si="7"/>
        <v>97</v>
      </c>
      <c r="X422" s="3" t="str">
        <f t="shared" si="8"/>
        <v/>
      </c>
      <c r="Y422" s="3" t="str">
        <f t="shared" si="9"/>
        <v/>
      </c>
      <c r="Z422" s="3" t="str">
        <f t="shared" si="10"/>
        <v/>
      </c>
      <c r="AA422" s="3">
        <f t="shared" si="11"/>
        <v>0.297670798</v>
      </c>
    </row>
    <row r="423">
      <c r="A423" s="1" t="s">
        <v>3862</v>
      </c>
      <c r="B423" s="2" t="s">
        <v>43</v>
      </c>
      <c r="C423" s="2" t="s">
        <v>3877</v>
      </c>
      <c r="D423" s="2" t="s">
        <v>3878</v>
      </c>
      <c r="E423" s="2" t="s">
        <v>3879</v>
      </c>
      <c r="F423" s="2" t="s">
        <v>3880</v>
      </c>
      <c r="G423" s="2" t="s">
        <v>3881</v>
      </c>
      <c r="H423" s="2" t="s">
        <v>3882</v>
      </c>
      <c r="I423" s="2" t="s">
        <v>3883</v>
      </c>
      <c r="J423" s="2" t="s">
        <v>3884</v>
      </c>
      <c r="K423" s="2" t="s">
        <v>3885</v>
      </c>
      <c r="L423" s="2" t="s">
        <v>3886</v>
      </c>
      <c r="M423" s="2" t="s">
        <v>3887</v>
      </c>
      <c r="N423" s="2" t="s">
        <v>3888</v>
      </c>
      <c r="O423" s="2" t="s">
        <v>3889</v>
      </c>
      <c r="P423" s="2" t="s">
        <v>3890</v>
      </c>
      <c r="Q423" s="3" t="str">
        <f t="shared" si="1"/>
        <v/>
      </c>
      <c r="R423" s="3" t="str">
        <f t="shared" si="2"/>
        <v/>
      </c>
      <c r="S423" s="3" t="str">
        <f t="shared" si="3"/>
        <v/>
      </c>
      <c r="T423" s="3" t="str">
        <f t="shared" si="4"/>
        <v/>
      </c>
      <c r="U423" s="3">
        <f t="shared" si="12"/>
        <v>97</v>
      </c>
      <c r="V423" s="3">
        <f t="shared" si="6"/>
        <v>96</v>
      </c>
      <c r="W423" s="3">
        <f t="shared" si="7"/>
        <v>97</v>
      </c>
      <c r="X423" s="3" t="str">
        <f t="shared" si="8"/>
        <v/>
      </c>
      <c r="Y423" s="3" t="str">
        <f t="shared" si="9"/>
        <v/>
      </c>
      <c r="Z423" s="3" t="str">
        <f t="shared" si="10"/>
        <v/>
      </c>
      <c r="AA423" s="3">
        <f t="shared" si="11"/>
        <v>0</v>
      </c>
    </row>
    <row r="424">
      <c r="A424" s="1" t="s">
        <v>3891</v>
      </c>
      <c r="B424" s="2" t="s">
        <v>28</v>
      </c>
      <c r="C424" s="2" t="s">
        <v>3892</v>
      </c>
      <c r="D424" s="2" t="s">
        <v>3893</v>
      </c>
      <c r="E424" s="2" t="s">
        <v>3894</v>
      </c>
      <c r="F424" s="2" t="s">
        <v>3895</v>
      </c>
      <c r="G424" s="2" t="s">
        <v>3896</v>
      </c>
      <c r="H424" s="2" t="s">
        <v>3897</v>
      </c>
      <c r="I424" s="2" t="s">
        <v>3898</v>
      </c>
      <c r="J424" s="2" t="s">
        <v>3899</v>
      </c>
      <c r="K424" s="2" t="s">
        <v>3900</v>
      </c>
      <c r="L424" s="2" t="s">
        <v>3901</v>
      </c>
      <c r="M424" s="2" t="s">
        <v>3902</v>
      </c>
      <c r="N424" s="2" t="s">
        <v>3903</v>
      </c>
      <c r="O424" s="2" t="s">
        <v>3904</v>
      </c>
      <c r="P424" s="2" t="s">
        <v>55</v>
      </c>
      <c r="Q424" s="3">
        <f t="shared" si="1"/>
        <v>5</v>
      </c>
      <c r="R424" s="3">
        <f t="shared" si="2"/>
        <v>0.468211138</v>
      </c>
      <c r="S424" s="3">
        <f t="shared" si="3"/>
        <v>0.756043368</v>
      </c>
      <c r="T424" s="3">
        <f t="shared" si="4"/>
        <v>0.184005656</v>
      </c>
      <c r="U424" s="3">
        <f t="shared" si="12"/>
        <v>98</v>
      </c>
      <c r="V424" s="3">
        <f t="shared" si="6"/>
        <v>96</v>
      </c>
      <c r="W424" s="3">
        <f t="shared" si="7"/>
        <v>99</v>
      </c>
      <c r="X424" s="3" t="str">
        <f t="shared" si="8"/>
        <v/>
      </c>
      <c r="Y424" s="3" t="str">
        <f t="shared" si="9"/>
        <v/>
      </c>
      <c r="Z424" s="3" t="str">
        <f t="shared" si="10"/>
        <v/>
      </c>
      <c r="AA424" s="3">
        <f t="shared" si="11"/>
        <v>0.572037712</v>
      </c>
    </row>
    <row r="425">
      <c r="A425" s="1" t="s">
        <v>3891</v>
      </c>
      <c r="B425" s="2" t="s">
        <v>43</v>
      </c>
      <c r="C425" s="2" t="s">
        <v>3905</v>
      </c>
      <c r="D425" s="2" t="s">
        <v>3906</v>
      </c>
      <c r="E425" s="2" t="s">
        <v>54</v>
      </c>
      <c r="F425" s="2" t="s">
        <v>55</v>
      </c>
      <c r="G425" s="2" t="s">
        <v>55</v>
      </c>
      <c r="H425" s="2" t="s">
        <v>55</v>
      </c>
      <c r="I425" s="2" t="s">
        <v>54</v>
      </c>
      <c r="J425" s="2" t="s">
        <v>55</v>
      </c>
      <c r="K425" s="2" t="s">
        <v>55</v>
      </c>
      <c r="L425" s="2" t="s">
        <v>55</v>
      </c>
      <c r="M425" s="2" t="s">
        <v>54</v>
      </c>
      <c r="N425" s="2" t="s">
        <v>55</v>
      </c>
      <c r="O425" s="2" t="s">
        <v>55</v>
      </c>
      <c r="P425" s="2" t="s">
        <v>55</v>
      </c>
      <c r="Q425" s="3" t="str">
        <f t="shared" si="1"/>
        <v/>
      </c>
      <c r="R425" s="3" t="str">
        <f t="shared" si="2"/>
        <v/>
      </c>
      <c r="S425" s="3" t="str">
        <f t="shared" si="3"/>
        <v/>
      </c>
      <c r="T425" s="3" t="str">
        <f t="shared" si="4"/>
        <v/>
      </c>
      <c r="U425" s="3">
        <f t="shared" si="12"/>
        <v>100</v>
      </c>
      <c r="V425" s="3">
        <f t="shared" si="6"/>
        <v>100</v>
      </c>
      <c r="W425" s="3">
        <f t="shared" si="7"/>
        <v>100</v>
      </c>
      <c r="X425" s="3" t="str">
        <f t="shared" si="8"/>
        <v/>
      </c>
      <c r="Y425" s="3" t="str">
        <f t="shared" si="9"/>
        <v/>
      </c>
      <c r="Z425" s="3" t="str">
        <f t="shared" si="10"/>
        <v/>
      </c>
      <c r="AA425" s="3">
        <f t="shared" si="11"/>
        <v>0</v>
      </c>
    </row>
    <row r="426">
      <c r="A426" s="1" t="s">
        <v>3907</v>
      </c>
      <c r="B426" s="2" t="s">
        <v>28</v>
      </c>
      <c r="C426" s="2" t="s">
        <v>3908</v>
      </c>
      <c r="D426" s="2" t="s">
        <v>3909</v>
      </c>
      <c r="E426" s="2" t="s">
        <v>3910</v>
      </c>
      <c r="F426" s="2" t="s">
        <v>55</v>
      </c>
      <c r="G426" s="2" t="s">
        <v>3911</v>
      </c>
      <c r="H426" s="2" t="s">
        <v>55</v>
      </c>
      <c r="I426" s="1" t="s">
        <v>112</v>
      </c>
      <c r="J426" s="1" t="s">
        <v>112</v>
      </c>
      <c r="K426" s="1" t="s">
        <v>112</v>
      </c>
      <c r="L426" s="1" t="s">
        <v>112</v>
      </c>
      <c r="M426" s="1" t="s">
        <v>112</v>
      </c>
      <c r="N426" s="1" t="s">
        <v>112</v>
      </c>
      <c r="O426" s="1" t="s">
        <v>112</v>
      </c>
      <c r="P426" s="1" t="s">
        <v>112</v>
      </c>
      <c r="Q426" s="3">
        <f t="shared" si="1"/>
        <v>3</v>
      </c>
      <c r="R426" s="3">
        <f t="shared" si="2"/>
        <v>0</v>
      </c>
      <c r="S426" s="3" t="str">
        <f t="shared" si="3"/>
        <v/>
      </c>
      <c r="T426" s="3" t="str">
        <f t="shared" si="4"/>
        <v/>
      </c>
      <c r="U426" s="3">
        <f t="shared" si="12"/>
        <v>94</v>
      </c>
      <c r="V426" s="3">
        <f t="shared" si="6"/>
        <v>0</v>
      </c>
      <c r="W426" s="3">
        <f t="shared" si="7"/>
        <v>0</v>
      </c>
      <c r="X426" s="3" t="str">
        <f t="shared" si="8"/>
        <v/>
      </c>
      <c r="Y426" s="3" t="str">
        <f t="shared" si="9"/>
        <v/>
      </c>
      <c r="Z426" s="3" t="str">
        <f t="shared" si="10"/>
        <v/>
      </c>
      <c r="AA426" s="3">
        <f t="shared" si="11"/>
        <v>0</v>
      </c>
    </row>
    <row r="427">
      <c r="A427" s="1" t="s">
        <v>3907</v>
      </c>
      <c r="B427" s="2" t="s">
        <v>3255</v>
      </c>
      <c r="C427" s="2" t="s">
        <v>3912</v>
      </c>
      <c r="D427" s="2" t="s">
        <v>3913</v>
      </c>
      <c r="E427" s="2" t="s">
        <v>3910</v>
      </c>
      <c r="F427" s="2" t="s">
        <v>55</v>
      </c>
      <c r="G427" s="2" t="s">
        <v>3911</v>
      </c>
      <c r="H427" s="2" t="s">
        <v>55</v>
      </c>
      <c r="I427" s="1" t="s">
        <v>112</v>
      </c>
      <c r="J427" s="1" t="s">
        <v>112</v>
      </c>
      <c r="K427" s="1" t="s">
        <v>112</v>
      </c>
      <c r="L427" s="1" t="s">
        <v>112</v>
      </c>
      <c r="M427" s="1" t="s">
        <v>112</v>
      </c>
      <c r="N427" s="1" t="s">
        <v>112</v>
      </c>
      <c r="O427" s="1" t="s">
        <v>112</v>
      </c>
      <c r="P427" s="1" t="s">
        <v>112</v>
      </c>
      <c r="Q427" s="3" t="str">
        <f t="shared" si="1"/>
        <v/>
      </c>
      <c r="R427" s="3" t="str">
        <f t="shared" si="2"/>
        <v/>
      </c>
      <c r="S427" s="3" t="str">
        <f t="shared" si="3"/>
        <v/>
      </c>
      <c r="T427" s="3" t="str">
        <f t="shared" si="4"/>
        <v/>
      </c>
      <c r="U427" s="3">
        <f t="shared" si="12"/>
        <v>94</v>
      </c>
      <c r="V427" s="3">
        <f t="shared" si="6"/>
        <v>0</v>
      </c>
      <c r="W427" s="3">
        <f t="shared" si="7"/>
        <v>0</v>
      </c>
      <c r="X427" s="3" t="str">
        <f t="shared" si="8"/>
        <v/>
      </c>
      <c r="Y427" s="3" t="str">
        <f t="shared" si="9"/>
        <v/>
      </c>
      <c r="Z427" s="3" t="str">
        <f t="shared" si="10"/>
        <v/>
      </c>
      <c r="AA427" s="3">
        <f t="shared" si="11"/>
        <v>0</v>
      </c>
    </row>
    <row r="428">
      <c r="A428" s="1" t="s">
        <v>3914</v>
      </c>
      <c r="B428" s="2" t="s">
        <v>28</v>
      </c>
      <c r="C428" s="2" t="s">
        <v>3915</v>
      </c>
      <c r="D428" s="2" t="s">
        <v>3916</v>
      </c>
      <c r="E428" s="2" t="s">
        <v>54</v>
      </c>
      <c r="F428" s="2" t="s">
        <v>55</v>
      </c>
      <c r="G428" s="2" t="s">
        <v>55</v>
      </c>
      <c r="H428" s="2" t="s">
        <v>55</v>
      </c>
      <c r="I428" s="2" t="s">
        <v>54</v>
      </c>
      <c r="J428" s="2" t="s">
        <v>55</v>
      </c>
      <c r="K428" s="2" t="s">
        <v>55</v>
      </c>
      <c r="L428" s="2" t="s">
        <v>55</v>
      </c>
      <c r="M428" s="2" t="s">
        <v>54</v>
      </c>
      <c r="N428" s="2" t="s">
        <v>55</v>
      </c>
      <c r="O428" s="2" t="s">
        <v>55</v>
      </c>
      <c r="P428" s="2" t="s">
        <v>55</v>
      </c>
      <c r="Q428" s="3">
        <f t="shared" si="1"/>
        <v>5</v>
      </c>
      <c r="R428" s="3">
        <f t="shared" si="2"/>
        <v>0</v>
      </c>
      <c r="S428" s="3">
        <f t="shared" si="3"/>
        <v>0</v>
      </c>
      <c r="T428" s="3">
        <f t="shared" si="4"/>
        <v>0</v>
      </c>
      <c r="U428" s="3">
        <f t="shared" si="12"/>
        <v>100</v>
      </c>
      <c r="V428" s="3">
        <f t="shared" si="6"/>
        <v>100</v>
      </c>
      <c r="W428" s="3">
        <f t="shared" si="7"/>
        <v>100</v>
      </c>
      <c r="X428" s="3" t="str">
        <f t="shared" si="8"/>
        <v>full access</v>
      </c>
      <c r="Y428" s="3" t="str">
        <f t="shared" si="9"/>
        <v>full access</v>
      </c>
      <c r="Z428" s="3" t="str">
        <f t="shared" si="10"/>
        <v>full access</v>
      </c>
      <c r="AA428" s="3">
        <f t="shared" si="11"/>
        <v>0</v>
      </c>
    </row>
    <row r="429">
      <c r="A429" s="1" t="s">
        <v>3914</v>
      </c>
      <c r="B429" s="2" t="s">
        <v>43</v>
      </c>
      <c r="C429" s="2" t="s">
        <v>3917</v>
      </c>
      <c r="D429" s="2" t="s">
        <v>3918</v>
      </c>
      <c r="E429" s="2" t="s">
        <v>54</v>
      </c>
      <c r="F429" s="2" t="s">
        <v>55</v>
      </c>
      <c r="G429" s="2" t="s">
        <v>55</v>
      </c>
      <c r="H429" s="2" t="s">
        <v>55</v>
      </c>
      <c r="I429" s="2" t="s">
        <v>54</v>
      </c>
      <c r="J429" s="2" t="s">
        <v>55</v>
      </c>
      <c r="K429" s="2" t="s">
        <v>55</v>
      </c>
      <c r="L429" s="2" t="s">
        <v>55</v>
      </c>
      <c r="M429" s="2" t="s">
        <v>54</v>
      </c>
      <c r="N429" s="2" t="s">
        <v>55</v>
      </c>
      <c r="O429" s="2" t="s">
        <v>55</v>
      </c>
      <c r="P429" s="2" t="s">
        <v>55</v>
      </c>
      <c r="Q429" s="3" t="str">
        <f t="shared" si="1"/>
        <v/>
      </c>
      <c r="R429" s="3" t="str">
        <f t="shared" si="2"/>
        <v/>
      </c>
      <c r="S429" s="3" t="str">
        <f t="shared" si="3"/>
        <v/>
      </c>
      <c r="T429" s="3" t="str">
        <f t="shared" si="4"/>
        <v/>
      </c>
      <c r="U429" s="3">
        <f t="shared" si="12"/>
        <v>100</v>
      </c>
      <c r="V429" s="3">
        <f t="shared" si="6"/>
        <v>100</v>
      </c>
      <c r="W429" s="3">
        <f t="shared" si="7"/>
        <v>100</v>
      </c>
      <c r="X429" s="3" t="str">
        <f t="shared" si="8"/>
        <v/>
      </c>
      <c r="Y429" s="3" t="str">
        <f t="shared" si="9"/>
        <v/>
      </c>
      <c r="Z429" s="3" t="str">
        <f t="shared" si="10"/>
        <v/>
      </c>
      <c r="AA429" s="3">
        <f t="shared" si="11"/>
        <v>0</v>
      </c>
    </row>
    <row r="430">
      <c r="A430" s="1" t="s">
        <v>3919</v>
      </c>
      <c r="B430" s="2" t="s">
        <v>28</v>
      </c>
      <c r="C430" s="2" t="s">
        <v>3920</v>
      </c>
      <c r="D430" s="2" t="s">
        <v>3921</v>
      </c>
      <c r="E430" s="2" t="s">
        <v>3922</v>
      </c>
      <c r="F430" s="2" t="s">
        <v>3923</v>
      </c>
      <c r="G430" s="2" t="s">
        <v>3924</v>
      </c>
      <c r="H430" s="2" t="s">
        <v>3925</v>
      </c>
      <c r="I430" s="2" t="s">
        <v>3926</v>
      </c>
      <c r="J430" s="2" t="s">
        <v>3927</v>
      </c>
      <c r="K430" s="2" t="s">
        <v>3928</v>
      </c>
      <c r="L430" s="2" t="s">
        <v>3929</v>
      </c>
      <c r="M430" s="2" t="s">
        <v>3930</v>
      </c>
      <c r="N430" s="2" t="s">
        <v>3931</v>
      </c>
      <c r="O430" s="2" t="s">
        <v>3932</v>
      </c>
      <c r="P430" s="2" t="s">
        <v>3933</v>
      </c>
      <c r="Q430" s="3">
        <f t="shared" si="1"/>
        <v>5</v>
      </c>
      <c r="R430" s="3">
        <f t="shared" si="2"/>
        <v>1.60269817</v>
      </c>
      <c r="S430" s="3">
        <f t="shared" si="3"/>
        <v>1.70283729</v>
      </c>
      <c r="T430" s="3">
        <f t="shared" si="4"/>
        <v>0.447299142</v>
      </c>
      <c r="U430" s="3">
        <f t="shared" si="12"/>
        <v>48</v>
      </c>
      <c r="V430" s="3">
        <f t="shared" si="6"/>
        <v>40</v>
      </c>
      <c r="W430" s="3">
        <f t="shared" si="7"/>
        <v>77</v>
      </c>
      <c r="X430" s="3" t="str">
        <f t="shared" si="8"/>
        <v/>
      </c>
      <c r="Y430" s="3" t="str">
        <f t="shared" si="9"/>
        <v/>
      </c>
      <c r="Z430" s="3" t="str">
        <f t="shared" si="10"/>
        <v/>
      </c>
      <c r="AA430" s="3">
        <f t="shared" si="11"/>
        <v>1.255538148</v>
      </c>
    </row>
    <row r="431">
      <c r="A431" s="1" t="s">
        <v>3919</v>
      </c>
      <c r="B431" s="2" t="s">
        <v>43</v>
      </c>
      <c r="C431" s="2" t="s">
        <v>3934</v>
      </c>
      <c r="D431" s="2" t="s">
        <v>3935</v>
      </c>
      <c r="E431" s="2" t="s">
        <v>3936</v>
      </c>
      <c r="F431" s="2" t="s">
        <v>3937</v>
      </c>
      <c r="G431" s="2" t="s">
        <v>3938</v>
      </c>
      <c r="H431" s="2" t="s">
        <v>3939</v>
      </c>
      <c r="I431" s="2" t="s">
        <v>3940</v>
      </c>
      <c r="J431" s="2" t="s">
        <v>3941</v>
      </c>
      <c r="K431" s="2" t="s">
        <v>3942</v>
      </c>
      <c r="L431" s="2" t="s">
        <v>3943</v>
      </c>
      <c r="M431" s="2" t="s">
        <v>3944</v>
      </c>
      <c r="N431" s="2" t="s">
        <v>3945</v>
      </c>
      <c r="O431" s="2" t="s">
        <v>3946</v>
      </c>
      <c r="P431" s="2" t="s">
        <v>3947</v>
      </c>
      <c r="Q431" s="3" t="str">
        <f t="shared" si="1"/>
        <v/>
      </c>
      <c r="R431" s="3" t="str">
        <f t="shared" si="2"/>
        <v/>
      </c>
      <c r="S431" s="3" t="str">
        <f t="shared" si="3"/>
        <v/>
      </c>
      <c r="T431" s="3" t="str">
        <f t="shared" si="4"/>
        <v/>
      </c>
      <c r="U431" s="3">
        <f t="shared" si="12"/>
        <v>56</v>
      </c>
      <c r="V431" s="3">
        <f t="shared" si="6"/>
        <v>48</v>
      </c>
      <c r="W431" s="3">
        <f t="shared" si="7"/>
        <v>79</v>
      </c>
      <c r="X431" s="3" t="str">
        <f t="shared" si="8"/>
        <v/>
      </c>
      <c r="Y431" s="3" t="str">
        <f t="shared" si="9"/>
        <v/>
      </c>
      <c r="Z431" s="3" t="str">
        <f t="shared" si="10"/>
        <v/>
      </c>
      <c r="AA431" s="3">
        <f t="shared" si="11"/>
        <v>0</v>
      </c>
    </row>
    <row r="432">
      <c r="A432" s="1" t="s">
        <v>3948</v>
      </c>
      <c r="B432" s="2" t="s">
        <v>28</v>
      </c>
      <c r="C432" s="2" t="s">
        <v>3949</v>
      </c>
      <c r="D432" s="2" t="s">
        <v>3950</v>
      </c>
      <c r="E432" s="2" t="s">
        <v>3951</v>
      </c>
      <c r="F432" s="2" t="s">
        <v>3952</v>
      </c>
      <c r="G432" s="2" t="s">
        <v>3953</v>
      </c>
      <c r="H432" s="2" t="s">
        <v>3954</v>
      </c>
      <c r="I432" s="2" t="s">
        <v>3955</v>
      </c>
      <c r="J432" s="2" t="s">
        <v>55</v>
      </c>
      <c r="K432" s="2" t="s">
        <v>3956</v>
      </c>
      <c r="L432" s="2" t="s">
        <v>3957</v>
      </c>
      <c r="M432" s="2" t="s">
        <v>3958</v>
      </c>
      <c r="N432" s="2" t="s">
        <v>3959</v>
      </c>
      <c r="O432" s="2" t="s">
        <v>3960</v>
      </c>
      <c r="P432" s="2" t="s">
        <v>3961</v>
      </c>
      <c r="Q432" s="3">
        <f t="shared" si="1"/>
        <v>5</v>
      </c>
      <c r="R432" s="3">
        <f t="shared" si="2"/>
        <v>0.054275052</v>
      </c>
      <c r="S432" s="3">
        <f t="shared" si="3"/>
        <v>0.231377678</v>
      </c>
      <c r="T432" s="3">
        <f t="shared" si="4"/>
        <v>-0.011247684</v>
      </c>
      <c r="U432" s="3">
        <f t="shared" si="12"/>
        <v>94</v>
      </c>
      <c r="V432" s="3">
        <f t="shared" si="6"/>
        <v>99</v>
      </c>
      <c r="W432" s="3">
        <f t="shared" si="7"/>
        <v>91</v>
      </c>
      <c r="X432" s="3" t="str">
        <f t="shared" si="8"/>
        <v/>
      </c>
      <c r="Y432" s="3" t="str">
        <f t="shared" si="9"/>
        <v/>
      </c>
      <c r="Z432" s="3" t="str">
        <f t="shared" si="10"/>
        <v/>
      </c>
      <c r="AA432" s="3">
        <f t="shared" si="11"/>
        <v>0.242625362</v>
      </c>
    </row>
    <row r="433">
      <c r="A433" s="1" t="s">
        <v>3948</v>
      </c>
      <c r="B433" s="2" t="s">
        <v>43</v>
      </c>
      <c r="C433" s="2" t="s">
        <v>3962</v>
      </c>
      <c r="D433" s="2" t="s">
        <v>3963</v>
      </c>
      <c r="E433" s="2" t="s">
        <v>3964</v>
      </c>
      <c r="F433" s="2" t="s">
        <v>3965</v>
      </c>
      <c r="G433" s="2" t="s">
        <v>3966</v>
      </c>
      <c r="H433" s="2" t="s">
        <v>3967</v>
      </c>
      <c r="I433" s="2" t="s">
        <v>54</v>
      </c>
      <c r="J433" s="2" t="s">
        <v>55</v>
      </c>
      <c r="K433" s="2" t="s">
        <v>55</v>
      </c>
      <c r="L433" s="2" t="s">
        <v>55</v>
      </c>
      <c r="M433" s="2" t="s">
        <v>3968</v>
      </c>
      <c r="N433" s="2" t="s">
        <v>3969</v>
      </c>
      <c r="O433" s="2" t="s">
        <v>3970</v>
      </c>
      <c r="P433" s="2" t="s">
        <v>3971</v>
      </c>
      <c r="Q433" s="3" t="str">
        <f t="shared" si="1"/>
        <v/>
      </c>
      <c r="R433" s="3" t="str">
        <f t="shared" si="2"/>
        <v/>
      </c>
      <c r="S433" s="3" t="str">
        <f t="shared" si="3"/>
        <v/>
      </c>
      <c r="T433" s="3" t="str">
        <f t="shared" si="4"/>
        <v/>
      </c>
      <c r="U433" s="3">
        <f t="shared" si="12"/>
        <v>94</v>
      </c>
      <c r="V433" s="3">
        <f t="shared" si="6"/>
        <v>100</v>
      </c>
      <c r="W433" s="3">
        <f t="shared" si="7"/>
        <v>91</v>
      </c>
      <c r="X433" s="3" t="str">
        <f t="shared" si="8"/>
        <v/>
      </c>
      <c r="Y433" s="3" t="str">
        <f t="shared" si="9"/>
        <v/>
      </c>
      <c r="Z433" s="3" t="str">
        <f t="shared" si="10"/>
        <v/>
      </c>
      <c r="AA433" s="3">
        <f t="shared" si="11"/>
        <v>0</v>
      </c>
    </row>
    <row r="434">
      <c r="A434" s="1" t="s">
        <v>3972</v>
      </c>
      <c r="B434" s="2" t="s">
        <v>28</v>
      </c>
      <c r="C434" s="2" t="s">
        <v>3973</v>
      </c>
      <c r="D434" s="2" t="s">
        <v>3974</v>
      </c>
      <c r="E434" s="2" t="s">
        <v>3975</v>
      </c>
      <c r="F434" s="2" t="s">
        <v>55</v>
      </c>
      <c r="G434" s="2" t="s">
        <v>3976</v>
      </c>
      <c r="H434" s="2" t="s">
        <v>55</v>
      </c>
      <c r="I434" s="1" t="s">
        <v>112</v>
      </c>
      <c r="J434" s="1" t="s">
        <v>112</v>
      </c>
      <c r="K434" s="1" t="s">
        <v>112</v>
      </c>
      <c r="L434" s="1" t="s">
        <v>112</v>
      </c>
      <c r="M434" s="1" t="s">
        <v>112</v>
      </c>
      <c r="N434" s="1" t="s">
        <v>112</v>
      </c>
      <c r="O434" s="1" t="s">
        <v>112</v>
      </c>
      <c r="P434" s="1" t="s">
        <v>112</v>
      </c>
      <c r="Q434" s="3">
        <f t="shared" si="1"/>
        <v>5</v>
      </c>
      <c r="R434" s="3">
        <f t="shared" si="2"/>
        <v>-0.001147294</v>
      </c>
      <c r="S434" s="3" t="str">
        <f t="shared" si="3"/>
        <v/>
      </c>
      <c r="T434" s="3" t="str">
        <f t="shared" si="4"/>
        <v/>
      </c>
      <c r="U434" s="3">
        <f t="shared" si="12"/>
        <v>100</v>
      </c>
      <c r="V434" s="3">
        <f t="shared" si="6"/>
        <v>0</v>
      </c>
      <c r="W434" s="3">
        <f t="shared" si="7"/>
        <v>0</v>
      </c>
      <c r="X434" s="3" t="str">
        <f t="shared" si="8"/>
        <v>full access</v>
      </c>
      <c r="Y434" s="3" t="str">
        <f t="shared" si="9"/>
        <v/>
      </c>
      <c r="Z434" s="3" t="str">
        <f t="shared" si="10"/>
        <v/>
      </c>
      <c r="AA434" s="3">
        <f t="shared" si="11"/>
        <v>0</v>
      </c>
    </row>
    <row r="435">
      <c r="A435" s="1" t="s">
        <v>3972</v>
      </c>
      <c r="B435" s="2" t="s">
        <v>43</v>
      </c>
      <c r="C435" s="2" t="s">
        <v>3977</v>
      </c>
      <c r="D435" s="2" t="s">
        <v>3978</v>
      </c>
      <c r="E435" s="2" t="s">
        <v>3979</v>
      </c>
      <c r="F435" s="2" t="s">
        <v>55</v>
      </c>
      <c r="G435" s="2" t="s">
        <v>3980</v>
      </c>
      <c r="H435" s="2" t="s">
        <v>55</v>
      </c>
      <c r="I435" s="1" t="s">
        <v>112</v>
      </c>
      <c r="J435" s="1" t="s">
        <v>112</v>
      </c>
      <c r="K435" s="1" t="s">
        <v>112</v>
      </c>
      <c r="L435" s="1" t="s">
        <v>112</v>
      </c>
      <c r="M435" s="1" t="s">
        <v>112</v>
      </c>
      <c r="N435" s="1" t="s">
        <v>112</v>
      </c>
      <c r="O435" s="1" t="s">
        <v>112</v>
      </c>
      <c r="P435" s="1" t="s">
        <v>112</v>
      </c>
      <c r="Q435" s="3" t="str">
        <f t="shared" si="1"/>
        <v/>
      </c>
      <c r="R435" s="3" t="str">
        <f t="shared" si="2"/>
        <v/>
      </c>
      <c r="S435" s="3" t="str">
        <f t="shared" si="3"/>
        <v/>
      </c>
      <c r="T435" s="3" t="str">
        <f t="shared" si="4"/>
        <v/>
      </c>
      <c r="U435" s="3">
        <f t="shared" si="12"/>
        <v>100</v>
      </c>
      <c r="V435" s="3">
        <f t="shared" si="6"/>
        <v>0</v>
      </c>
      <c r="W435" s="3">
        <f t="shared" si="7"/>
        <v>0</v>
      </c>
      <c r="X435" s="3" t="str">
        <f t="shared" si="8"/>
        <v/>
      </c>
      <c r="Y435" s="3" t="str">
        <f t="shared" si="9"/>
        <v/>
      </c>
      <c r="Z435" s="3" t="str">
        <f t="shared" si="10"/>
        <v/>
      </c>
      <c r="AA435" s="3">
        <f t="shared" si="11"/>
        <v>0</v>
      </c>
    </row>
    <row r="436">
      <c r="A436" s="1" t="s">
        <v>3981</v>
      </c>
      <c r="B436" s="2" t="s">
        <v>28</v>
      </c>
      <c r="C436" s="2" t="s">
        <v>3982</v>
      </c>
      <c r="D436" s="2" t="s">
        <v>3983</v>
      </c>
      <c r="E436" s="2" t="s">
        <v>1887</v>
      </c>
      <c r="F436" s="2" t="s">
        <v>55</v>
      </c>
      <c r="G436" s="2" t="s">
        <v>55</v>
      </c>
      <c r="H436" s="2" t="s">
        <v>55</v>
      </c>
      <c r="I436" s="2" t="s">
        <v>54</v>
      </c>
      <c r="J436" s="2" t="s">
        <v>55</v>
      </c>
      <c r="K436" s="2" t="s">
        <v>55</v>
      </c>
      <c r="L436" s="2" t="s">
        <v>55</v>
      </c>
      <c r="M436" s="2" t="s">
        <v>54</v>
      </c>
      <c r="N436" s="2" t="s">
        <v>55</v>
      </c>
      <c r="O436" s="2" t="s">
        <v>55</v>
      </c>
      <c r="P436" s="2" t="s">
        <v>55</v>
      </c>
      <c r="Q436" s="3">
        <f t="shared" si="1"/>
        <v>5</v>
      </c>
      <c r="R436" s="3">
        <f t="shared" si="2"/>
        <v>-0.0000005880000003</v>
      </c>
      <c r="S436" s="3">
        <f t="shared" si="3"/>
        <v>0</v>
      </c>
      <c r="T436" s="3">
        <f t="shared" si="4"/>
        <v>0</v>
      </c>
      <c r="U436" s="3">
        <f t="shared" si="12"/>
        <v>100</v>
      </c>
      <c r="V436" s="3">
        <f t="shared" si="6"/>
        <v>100</v>
      </c>
      <c r="W436" s="3">
        <f t="shared" si="7"/>
        <v>100</v>
      </c>
      <c r="X436" s="3" t="str">
        <f t="shared" si="8"/>
        <v>full access</v>
      </c>
      <c r="Y436" s="3" t="str">
        <f t="shared" si="9"/>
        <v>full access</v>
      </c>
      <c r="Z436" s="3" t="str">
        <f t="shared" si="10"/>
        <v>full access</v>
      </c>
      <c r="AA436" s="3">
        <f t="shared" si="11"/>
        <v>0</v>
      </c>
    </row>
    <row r="437">
      <c r="A437" s="1" t="s">
        <v>3981</v>
      </c>
      <c r="B437" s="2" t="s">
        <v>43</v>
      </c>
      <c r="C437" s="2" t="s">
        <v>3984</v>
      </c>
      <c r="D437" s="2" t="s">
        <v>3985</v>
      </c>
      <c r="E437" s="2" t="s">
        <v>2685</v>
      </c>
      <c r="F437" s="2" t="s">
        <v>55</v>
      </c>
      <c r="G437" s="2" t="s">
        <v>3986</v>
      </c>
      <c r="H437" s="2" t="s">
        <v>55</v>
      </c>
      <c r="I437" s="2" t="s">
        <v>54</v>
      </c>
      <c r="J437" s="2" t="s">
        <v>55</v>
      </c>
      <c r="K437" s="2" t="s">
        <v>55</v>
      </c>
      <c r="L437" s="2" t="s">
        <v>55</v>
      </c>
      <c r="M437" s="2" t="s">
        <v>54</v>
      </c>
      <c r="N437" s="2" t="s">
        <v>55</v>
      </c>
      <c r="O437" s="2" t="s">
        <v>55</v>
      </c>
      <c r="P437" s="2" t="s">
        <v>55</v>
      </c>
      <c r="Q437" s="3" t="str">
        <f t="shared" si="1"/>
        <v/>
      </c>
      <c r="R437" s="3" t="str">
        <f t="shared" si="2"/>
        <v/>
      </c>
      <c r="S437" s="3" t="str">
        <f t="shared" si="3"/>
        <v/>
      </c>
      <c r="T437" s="3" t="str">
        <f t="shared" si="4"/>
        <v/>
      </c>
      <c r="U437" s="3">
        <f t="shared" si="12"/>
        <v>100</v>
      </c>
      <c r="V437" s="3">
        <f t="shared" si="6"/>
        <v>100</v>
      </c>
      <c r="W437" s="3">
        <f t="shared" si="7"/>
        <v>100</v>
      </c>
      <c r="X437" s="3" t="str">
        <f t="shared" si="8"/>
        <v/>
      </c>
      <c r="Y437" s="3" t="str">
        <f t="shared" si="9"/>
        <v/>
      </c>
      <c r="Z437" s="3" t="str">
        <f t="shared" si="10"/>
        <v/>
      </c>
      <c r="AA437" s="3">
        <f t="shared" si="11"/>
        <v>0</v>
      </c>
    </row>
    <row r="438">
      <c r="A438" s="1" t="s">
        <v>3987</v>
      </c>
      <c r="B438" s="2" t="s">
        <v>28</v>
      </c>
      <c r="C438" s="2" t="s">
        <v>3988</v>
      </c>
      <c r="D438" s="2" t="s">
        <v>3989</v>
      </c>
      <c r="E438" s="2" t="s">
        <v>3990</v>
      </c>
      <c r="F438" s="2" t="s">
        <v>3991</v>
      </c>
      <c r="G438" s="2" t="s">
        <v>3992</v>
      </c>
      <c r="H438" s="2" t="s">
        <v>3993</v>
      </c>
      <c r="I438" s="2" t="s">
        <v>3994</v>
      </c>
      <c r="J438" s="2" t="s">
        <v>3995</v>
      </c>
      <c r="K438" s="2" t="s">
        <v>3996</v>
      </c>
      <c r="L438" s="2" t="s">
        <v>3997</v>
      </c>
      <c r="M438" s="2" t="s">
        <v>3998</v>
      </c>
      <c r="N438" s="2" t="s">
        <v>3999</v>
      </c>
      <c r="O438" s="2" t="s">
        <v>4000</v>
      </c>
      <c r="P438" s="2" t="s">
        <v>4001</v>
      </c>
      <c r="Q438" s="3">
        <f t="shared" si="1"/>
        <v>5</v>
      </c>
      <c r="R438" s="3">
        <f t="shared" si="2"/>
        <v>1.5506006</v>
      </c>
      <c r="S438" s="3">
        <f t="shared" si="3"/>
        <v>1.316708156</v>
      </c>
      <c r="T438" s="3">
        <f t="shared" si="4"/>
        <v>1.0666139</v>
      </c>
      <c r="U438" s="3">
        <f t="shared" si="12"/>
        <v>53</v>
      </c>
      <c r="V438" s="3">
        <f t="shared" si="6"/>
        <v>39</v>
      </c>
      <c r="W438" s="3">
        <f t="shared" si="7"/>
        <v>83</v>
      </c>
      <c r="X438" s="3" t="str">
        <f t="shared" si="8"/>
        <v/>
      </c>
      <c r="Y438" s="3" t="str">
        <f t="shared" si="9"/>
        <v/>
      </c>
      <c r="Z438" s="3" t="str">
        <f t="shared" si="10"/>
        <v/>
      </c>
      <c r="AA438" s="3">
        <f t="shared" si="11"/>
        <v>0.250094256</v>
      </c>
    </row>
    <row r="439">
      <c r="A439" s="1" t="s">
        <v>3987</v>
      </c>
      <c r="B439" s="2" t="s">
        <v>43</v>
      </c>
      <c r="C439" s="2" t="s">
        <v>4002</v>
      </c>
      <c r="D439" s="2" t="s">
        <v>4003</v>
      </c>
      <c r="E439" s="2" t="s">
        <v>4004</v>
      </c>
      <c r="F439" s="2" t="s">
        <v>4005</v>
      </c>
      <c r="G439" s="2" t="s">
        <v>4006</v>
      </c>
      <c r="H439" s="2" t="s">
        <v>4007</v>
      </c>
      <c r="I439" s="2" t="s">
        <v>4008</v>
      </c>
      <c r="J439" s="2" t="s">
        <v>4009</v>
      </c>
      <c r="K439" s="2" t="s">
        <v>4010</v>
      </c>
      <c r="L439" s="2" t="s">
        <v>4011</v>
      </c>
      <c r="M439" s="2" t="s">
        <v>4012</v>
      </c>
      <c r="N439" s="2" t="s">
        <v>4013</v>
      </c>
      <c r="O439" s="2" t="s">
        <v>4014</v>
      </c>
      <c r="P439" s="2" t="s">
        <v>4015</v>
      </c>
      <c r="Q439" s="3" t="str">
        <f t="shared" si="1"/>
        <v/>
      </c>
      <c r="R439" s="3" t="str">
        <f t="shared" si="2"/>
        <v/>
      </c>
      <c r="S439" s="3" t="str">
        <f t="shared" si="3"/>
        <v/>
      </c>
      <c r="T439" s="3" t="str">
        <f t="shared" si="4"/>
        <v/>
      </c>
      <c r="U439" s="3">
        <f t="shared" si="12"/>
        <v>61</v>
      </c>
      <c r="V439" s="3">
        <f t="shared" si="6"/>
        <v>45</v>
      </c>
      <c r="W439" s="3">
        <f t="shared" si="7"/>
        <v>89</v>
      </c>
      <c r="X439" s="3" t="str">
        <f t="shared" si="8"/>
        <v/>
      </c>
      <c r="Y439" s="3" t="str">
        <f t="shared" si="9"/>
        <v/>
      </c>
      <c r="Z439" s="3" t="str">
        <f t="shared" si="10"/>
        <v/>
      </c>
      <c r="AA439" s="3">
        <f t="shared" si="11"/>
        <v>0</v>
      </c>
    </row>
    <row r="440">
      <c r="A440" s="1" t="s">
        <v>4016</v>
      </c>
      <c r="B440" s="2" t="s">
        <v>28</v>
      </c>
      <c r="C440" s="2" t="s">
        <v>4017</v>
      </c>
      <c r="D440" s="2" t="s">
        <v>4018</v>
      </c>
      <c r="E440" s="2" t="s">
        <v>4019</v>
      </c>
      <c r="F440" s="2" t="s">
        <v>55</v>
      </c>
      <c r="G440" s="2" t="s">
        <v>4020</v>
      </c>
      <c r="H440" s="2" t="s">
        <v>55</v>
      </c>
      <c r="I440" s="2" t="s">
        <v>4021</v>
      </c>
      <c r="J440" s="2" t="s">
        <v>55</v>
      </c>
      <c r="K440" s="2" t="s">
        <v>4022</v>
      </c>
      <c r="L440" s="2" t="s">
        <v>55</v>
      </c>
      <c r="M440" s="2" t="s">
        <v>4023</v>
      </c>
      <c r="N440" s="2" t="s">
        <v>55</v>
      </c>
      <c r="O440" s="2" t="s">
        <v>4024</v>
      </c>
      <c r="P440" s="2" t="s">
        <v>55</v>
      </c>
      <c r="Q440" s="3">
        <f t="shared" si="1"/>
        <v>5</v>
      </c>
      <c r="R440" s="3">
        <f t="shared" si="2"/>
        <v>0.087273784</v>
      </c>
      <c r="S440" s="3">
        <f t="shared" si="3"/>
        <v>0.378133766</v>
      </c>
      <c r="T440" s="3">
        <f t="shared" si="4"/>
        <v>0.021372932</v>
      </c>
      <c r="U440" s="3">
        <f t="shared" si="12"/>
        <v>99</v>
      </c>
      <c r="V440" s="3">
        <f t="shared" si="6"/>
        <v>98</v>
      </c>
      <c r="W440" s="3">
        <f t="shared" si="7"/>
        <v>100</v>
      </c>
      <c r="X440" s="3" t="str">
        <f t="shared" si="8"/>
        <v/>
      </c>
      <c r="Y440" s="3" t="str">
        <f t="shared" si="9"/>
        <v/>
      </c>
      <c r="Z440" s="3" t="str">
        <f t="shared" si="10"/>
        <v>full access</v>
      </c>
      <c r="AA440" s="3">
        <f t="shared" si="11"/>
        <v>0.356760834</v>
      </c>
    </row>
    <row r="441">
      <c r="A441" s="1" t="s">
        <v>4016</v>
      </c>
      <c r="B441" s="2" t="s">
        <v>43</v>
      </c>
      <c r="C441" s="2" t="s">
        <v>4025</v>
      </c>
      <c r="D441" s="2" t="s">
        <v>4026</v>
      </c>
      <c r="E441" s="2" t="s">
        <v>4027</v>
      </c>
      <c r="F441" s="2" t="s">
        <v>55</v>
      </c>
      <c r="G441" s="2" t="s">
        <v>4028</v>
      </c>
      <c r="H441" s="2" t="s">
        <v>55</v>
      </c>
      <c r="I441" s="2" t="s">
        <v>4029</v>
      </c>
      <c r="J441" s="2" t="s">
        <v>55</v>
      </c>
      <c r="K441" s="2" t="s">
        <v>4030</v>
      </c>
      <c r="L441" s="2" t="s">
        <v>55</v>
      </c>
      <c r="M441" s="2" t="s">
        <v>4031</v>
      </c>
      <c r="N441" s="2" t="s">
        <v>55</v>
      </c>
      <c r="O441" s="2" t="s">
        <v>4032</v>
      </c>
      <c r="P441" s="2" t="s">
        <v>55</v>
      </c>
      <c r="Q441" s="3" t="str">
        <f t="shared" si="1"/>
        <v/>
      </c>
      <c r="R441" s="3" t="str">
        <f t="shared" si="2"/>
        <v/>
      </c>
      <c r="S441" s="3" t="str">
        <f t="shared" si="3"/>
        <v/>
      </c>
      <c r="T441" s="3" t="str">
        <f t="shared" si="4"/>
        <v/>
      </c>
      <c r="U441" s="3">
        <f t="shared" si="12"/>
        <v>100</v>
      </c>
      <c r="V441" s="3">
        <f t="shared" si="6"/>
        <v>100</v>
      </c>
      <c r="W441" s="3">
        <f t="shared" si="7"/>
        <v>100</v>
      </c>
      <c r="X441" s="3" t="str">
        <f t="shared" si="8"/>
        <v/>
      </c>
      <c r="Y441" s="3" t="str">
        <f t="shared" si="9"/>
        <v/>
      </c>
      <c r="Z441" s="3" t="str">
        <f t="shared" si="10"/>
        <v/>
      </c>
      <c r="AA441" s="3">
        <f t="shared" si="11"/>
        <v>0</v>
      </c>
    </row>
    <row r="442">
      <c r="A442" s="1" t="s">
        <v>4033</v>
      </c>
      <c r="B442" s="2" t="s">
        <v>28</v>
      </c>
      <c r="C442" s="2" t="s">
        <v>4034</v>
      </c>
      <c r="D442" s="2" t="s">
        <v>4035</v>
      </c>
      <c r="E442" s="2" t="s">
        <v>4036</v>
      </c>
      <c r="F442" s="2" t="s">
        <v>55</v>
      </c>
      <c r="G442" s="2" t="s">
        <v>4037</v>
      </c>
      <c r="H442" s="2" t="s">
        <v>55</v>
      </c>
      <c r="I442" s="1" t="s">
        <v>112</v>
      </c>
      <c r="J442" s="1" t="s">
        <v>112</v>
      </c>
      <c r="K442" s="1" t="s">
        <v>112</v>
      </c>
      <c r="L442" s="1" t="s">
        <v>112</v>
      </c>
      <c r="M442" s="1" t="s">
        <v>112</v>
      </c>
      <c r="N442" s="1" t="s">
        <v>112</v>
      </c>
      <c r="O442" s="1" t="s">
        <v>112</v>
      </c>
      <c r="P442" s="1" t="s">
        <v>112</v>
      </c>
      <c r="Q442" s="3">
        <f t="shared" si="1"/>
        <v>5</v>
      </c>
      <c r="R442" s="3">
        <f t="shared" si="2"/>
        <v>-0.000001086</v>
      </c>
      <c r="S442" s="3" t="str">
        <f t="shared" si="3"/>
        <v/>
      </c>
      <c r="T442" s="3" t="str">
        <f t="shared" si="4"/>
        <v/>
      </c>
      <c r="U442" s="3">
        <f t="shared" si="12"/>
        <v>99</v>
      </c>
      <c r="V442" s="3">
        <f t="shared" si="6"/>
        <v>0</v>
      </c>
      <c r="W442" s="3">
        <f t="shared" si="7"/>
        <v>0</v>
      </c>
      <c r="X442" s="3" t="str">
        <f t="shared" si="8"/>
        <v/>
      </c>
      <c r="Y442" s="3" t="str">
        <f t="shared" si="9"/>
        <v/>
      </c>
      <c r="Z442" s="3" t="str">
        <f t="shared" si="10"/>
        <v/>
      </c>
      <c r="AA442" s="3">
        <f t="shared" si="11"/>
        <v>0</v>
      </c>
    </row>
    <row r="443">
      <c r="A443" s="1" t="s">
        <v>4033</v>
      </c>
      <c r="B443" s="2" t="s">
        <v>43</v>
      </c>
      <c r="C443" s="2" t="s">
        <v>4038</v>
      </c>
      <c r="D443" s="2" t="s">
        <v>4039</v>
      </c>
      <c r="E443" s="2" t="s">
        <v>4040</v>
      </c>
      <c r="F443" s="2" t="s">
        <v>55</v>
      </c>
      <c r="G443" s="2" t="s">
        <v>4041</v>
      </c>
      <c r="H443" s="2" t="s">
        <v>55</v>
      </c>
      <c r="I443" s="1" t="s">
        <v>112</v>
      </c>
      <c r="J443" s="1" t="s">
        <v>112</v>
      </c>
      <c r="K443" s="1" t="s">
        <v>112</v>
      </c>
      <c r="L443" s="1" t="s">
        <v>112</v>
      </c>
      <c r="M443" s="1" t="s">
        <v>112</v>
      </c>
      <c r="N443" s="1" t="s">
        <v>112</v>
      </c>
      <c r="O443" s="1" t="s">
        <v>112</v>
      </c>
      <c r="P443" s="1" t="s">
        <v>112</v>
      </c>
      <c r="Q443" s="3" t="str">
        <f t="shared" si="1"/>
        <v/>
      </c>
      <c r="R443" s="3" t="str">
        <f t="shared" si="2"/>
        <v/>
      </c>
      <c r="S443" s="3" t="str">
        <f t="shared" si="3"/>
        <v/>
      </c>
      <c r="T443" s="3" t="str">
        <f t="shared" si="4"/>
        <v/>
      </c>
      <c r="U443" s="3">
        <f t="shared" si="12"/>
        <v>99</v>
      </c>
      <c r="V443" s="3">
        <f t="shared" si="6"/>
        <v>0</v>
      </c>
      <c r="W443" s="3">
        <f t="shared" si="7"/>
        <v>0</v>
      </c>
      <c r="X443" s="3" t="str">
        <f t="shared" si="8"/>
        <v/>
      </c>
      <c r="Y443" s="3" t="str">
        <f t="shared" si="9"/>
        <v/>
      </c>
      <c r="Z443" s="3" t="str">
        <f t="shared" si="10"/>
        <v/>
      </c>
      <c r="AA443" s="3">
        <f t="shared" si="11"/>
        <v>0</v>
      </c>
    </row>
    <row r="444">
      <c r="A444" s="1" t="s">
        <v>4042</v>
      </c>
      <c r="B444" s="2" t="s">
        <v>28</v>
      </c>
      <c r="C444" s="2" t="s">
        <v>4043</v>
      </c>
      <c r="D444" s="2" t="s">
        <v>4044</v>
      </c>
      <c r="E444" s="2" t="s">
        <v>4045</v>
      </c>
      <c r="F444" s="2" t="s">
        <v>4046</v>
      </c>
      <c r="G444" s="2" t="s">
        <v>4047</v>
      </c>
      <c r="H444" s="2" t="s">
        <v>4048</v>
      </c>
      <c r="I444" s="2" t="s">
        <v>4049</v>
      </c>
      <c r="J444" s="2" t="s">
        <v>4050</v>
      </c>
      <c r="K444" s="2" t="s">
        <v>4051</v>
      </c>
      <c r="L444" s="2" t="s">
        <v>4052</v>
      </c>
      <c r="M444" s="2" t="s">
        <v>4053</v>
      </c>
      <c r="N444" s="2" t="s">
        <v>4054</v>
      </c>
      <c r="O444" s="2" t="s">
        <v>4055</v>
      </c>
      <c r="P444" s="2" t="s">
        <v>55</v>
      </c>
      <c r="Q444" s="3">
        <f t="shared" si="1"/>
        <v>5</v>
      </c>
      <c r="R444" s="3">
        <f t="shared" si="2"/>
        <v>0.072872</v>
      </c>
      <c r="S444" s="3">
        <f t="shared" si="3"/>
        <v>0.760997232</v>
      </c>
      <c r="T444" s="3">
        <f t="shared" si="4"/>
        <v>0.032654492</v>
      </c>
      <c r="U444" s="3">
        <f t="shared" si="12"/>
        <v>99</v>
      </c>
      <c r="V444" s="3">
        <f t="shared" si="6"/>
        <v>91</v>
      </c>
      <c r="W444" s="3">
        <f t="shared" si="7"/>
        <v>100</v>
      </c>
      <c r="X444" s="3" t="str">
        <f t="shared" si="8"/>
        <v/>
      </c>
      <c r="Y444" s="3" t="str">
        <f t="shared" si="9"/>
        <v/>
      </c>
      <c r="Z444" s="3" t="str">
        <f t="shared" si="10"/>
        <v>full access</v>
      </c>
      <c r="AA444" s="3">
        <f t="shared" si="11"/>
        <v>0.72834274</v>
      </c>
    </row>
    <row r="445">
      <c r="A445" s="1" t="s">
        <v>4042</v>
      </c>
      <c r="B445" s="2" t="s">
        <v>43</v>
      </c>
      <c r="C445" s="2" t="s">
        <v>4056</v>
      </c>
      <c r="D445" s="2" t="s">
        <v>4057</v>
      </c>
      <c r="E445" s="2" t="s">
        <v>4058</v>
      </c>
      <c r="F445" s="2" t="s">
        <v>4059</v>
      </c>
      <c r="G445" s="2" t="s">
        <v>55</v>
      </c>
      <c r="H445" s="2" t="s">
        <v>55</v>
      </c>
      <c r="I445" s="2" t="s">
        <v>4060</v>
      </c>
      <c r="J445" s="2" t="s">
        <v>4061</v>
      </c>
      <c r="K445" s="2" t="s">
        <v>55</v>
      </c>
      <c r="L445" s="2" t="s">
        <v>55</v>
      </c>
      <c r="M445" s="2" t="s">
        <v>4062</v>
      </c>
      <c r="N445" s="2" t="s">
        <v>4063</v>
      </c>
      <c r="O445" s="2" t="s">
        <v>55</v>
      </c>
      <c r="P445" s="2" t="s">
        <v>55</v>
      </c>
      <c r="Q445" s="3" t="str">
        <f t="shared" si="1"/>
        <v/>
      </c>
      <c r="R445" s="3" t="str">
        <f t="shared" si="2"/>
        <v/>
      </c>
      <c r="S445" s="3" t="str">
        <f t="shared" si="3"/>
        <v/>
      </c>
      <c r="T445" s="3" t="str">
        <f t="shared" si="4"/>
        <v/>
      </c>
      <c r="U445" s="3">
        <f t="shared" si="12"/>
        <v>99</v>
      </c>
      <c r="V445" s="3">
        <f t="shared" si="6"/>
        <v>95</v>
      </c>
      <c r="W445" s="3">
        <f t="shared" si="7"/>
        <v>100</v>
      </c>
      <c r="X445" s="3" t="str">
        <f t="shared" si="8"/>
        <v/>
      </c>
      <c r="Y445" s="3" t="str">
        <f t="shared" si="9"/>
        <v/>
      </c>
      <c r="Z445" s="3" t="str">
        <f t="shared" si="10"/>
        <v/>
      </c>
      <c r="AA445" s="3">
        <f t="shared" si="11"/>
        <v>0</v>
      </c>
    </row>
    <row r="446">
      <c r="A446" s="1" t="s">
        <v>4064</v>
      </c>
      <c r="B446" s="2" t="s">
        <v>28</v>
      </c>
      <c r="C446" s="2" t="s">
        <v>4065</v>
      </c>
      <c r="D446" s="2" t="s">
        <v>4066</v>
      </c>
      <c r="E446" s="2" t="s">
        <v>4067</v>
      </c>
      <c r="F446" s="2" t="s">
        <v>55</v>
      </c>
      <c r="G446" s="2" t="s">
        <v>55</v>
      </c>
      <c r="H446" s="2" t="s">
        <v>4068</v>
      </c>
      <c r="I446" s="2" t="s">
        <v>4069</v>
      </c>
      <c r="J446" s="2" t="s">
        <v>55</v>
      </c>
      <c r="K446" s="2" t="s">
        <v>55</v>
      </c>
      <c r="L446" s="2" t="s">
        <v>4070</v>
      </c>
      <c r="M446" s="2" t="s">
        <v>4071</v>
      </c>
      <c r="N446" s="2" t="s">
        <v>55</v>
      </c>
      <c r="O446" s="2" t="s">
        <v>55</v>
      </c>
      <c r="P446" s="2" t="s">
        <v>4072</v>
      </c>
      <c r="Q446" s="3">
        <f t="shared" si="1"/>
        <v>5</v>
      </c>
      <c r="R446" s="3">
        <f t="shared" si="2"/>
        <v>0.060041318</v>
      </c>
      <c r="S446" s="3">
        <f t="shared" si="3"/>
        <v>0.086038162</v>
      </c>
      <c r="T446" s="3">
        <f t="shared" si="4"/>
        <v>0.039397988</v>
      </c>
      <c r="U446" s="3">
        <f t="shared" si="12"/>
        <v>98</v>
      </c>
      <c r="V446" s="3">
        <f t="shared" si="6"/>
        <v>96</v>
      </c>
      <c r="W446" s="3">
        <f t="shared" si="7"/>
        <v>99</v>
      </c>
      <c r="X446" s="3" t="str">
        <f t="shared" si="8"/>
        <v/>
      </c>
      <c r="Y446" s="3" t="str">
        <f t="shared" si="9"/>
        <v/>
      </c>
      <c r="Z446" s="3" t="str">
        <f t="shared" si="10"/>
        <v/>
      </c>
      <c r="AA446" s="3">
        <f t="shared" si="11"/>
        <v>0.046640174</v>
      </c>
    </row>
    <row r="447">
      <c r="A447" s="1" t="s">
        <v>4064</v>
      </c>
      <c r="B447" s="2" t="s">
        <v>43</v>
      </c>
      <c r="C447" s="2" t="s">
        <v>4073</v>
      </c>
      <c r="D447" s="2" t="s">
        <v>4074</v>
      </c>
      <c r="E447" s="2" t="s">
        <v>4075</v>
      </c>
      <c r="F447" s="2" t="s">
        <v>55</v>
      </c>
      <c r="G447" s="2" t="s">
        <v>4076</v>
      </c>
      <c r="H447" s="2" t="s">
        <v>4077</v>
      </c>
      <c r="I447" s="2" t="s">
        <v>4078</v>
      </c>
      <c r="J447" s="2" t="s">
        <v>55</v>
      </c>
      <c r="K447" s="2" t="s">
        <v>55</v>
      </c>
      <c r="L447" s="2" t="s">
        <v>4079</v>
      </c>
      <c r="M447" s="2" t="s">
        <v>4080</v>
      </c>
      <c r="N447" s="2" t="s">
        <v>55</v>
      </c>
      <c r="O447" s="2" t="s">
        <v>4081</v>
      </c>
      <c r="P447" s="2" t="s">
        <v>55</v>
      </c>
      <c r="Q447" s="3" t="str">
        <f t="shared" si="1"/>
        <v/>
      </c>
      <c r="R447" s="3" t="str">
        <f t="shared" si="2"/>
        <v/>
      </c>
      <c r="S447" s="3" t="str">
        <f t="shared" si="3"/>
        <v/>
      </c>
      <c r="T447" s="3" t="str">
        <f t="shared" si="4"/>
        <v/>
      </c>
      <c r="U447" s="3">
        <f t="shared" si="12"/>
        <v>98</v>
      </c>
      <c r="V447" s="3">
        <f t="shared" si="6"/>
        <v>96</v>
      </c>
      <c r="W447" s="3">
        <f t="shared" si="7"/>
        <v>100</v>
      </c>
      <c r="X447" s="3" t="str">
        <f t="shared" si="8"/>
        <v/>
      </c>
      <c r="Y447" s="3" t="str">
        <f t="shared" si="9"/>
        <v/>
      </c>
      <c r="Z447" s="3" t="str">
        <f t="shared" si="10"/>
        <v/>
      </c>
      <c r="AA447" s="3">
        <f t="shared" si="11"/>
        <v>0</v>
      </c>
    </row>
    <row r="448">
      <c r="A448" s="1" t="s">
        <v>4082</v>
      </c>
      <c r="B448" s="2" t="s">
        <v>28</v>
      </c>
      <c r="C448" s="2" t="s">
        <v>4083</v>
      </c>
      <c r="D448" s="2" t="s">
        <v>4084</v>
      </c>
      <c r="E448" s="2" t="s">
        <v>4085</v>
      </c>
      <c r="F448" s="2" t="s">
        <v>4086</v>
      </c>
      <c r="G448" s="2" t="s">
        <v>4087</v>
      </c>
      <c r="H448" s="2" t="s">
        <v>4088</v>
      </c>
      <c r="I448" s="2" t="s">
        <v>4089</v>
      </c>
      <c r="J448" s="2" t="s">
        <v>4090</v>
      </c>
      <c r="K448" s="2" t="s">
        <v>4091</v>
      </c>
      <c r="L448" s="2" t="s">
        <v>4092</v>
      </c>
      <c r="M448" s="2" t="s">
        <v>4093</v>
      </c>
      <c r="N448" s="2" t="s">
        <v>4094</v>
      </c>
      <c r="O448" s="2" t="s">
        <v>4095</v>
      </c>
      <c r="P448" s="2" t="s">
        <v>55</v>
      </c>
      <c r="Q448" s="3">
        <f t="shared" si="1"/>
        <v>5</v>
      </c>
      <c r="R448" s="3">
        <f t="shared" si="2"/>
        <v>0.248602852</v>
      </c>
      <c r="S448" s="3">
        <f t="shared" si="3"/>
        <v>0.283830114</v>
      </c>
      <c r="T448" s="3">
        <f t="shared" si="4"/>
        <v>0.092528802</v>
      </c>
      <c r="U448" s="3">
        <f t="shared" si="12"/>
        <v>90</v>
      </c>
      <c r="V448" s="3">
        <f t="shared" si="6"/>
        <v>87</v>
      </c>
      <c r="W448" s="3">
        <f t="shared" si="7"/>
        <v>99</v>
      </c>
      <c r="X448" s="3" t="str">
        <f t="shared" si="8"/>
        <v/>
      </c>
      <c r="Y448" s="3" t="str">
        <f t="shared" si="9"/>
        <v/>
      </c>
      <c r="Z448" s="3" t="str">
        <f t="shared" si="10"/>
        <v/>
      </c>
      <c r="AA448" s="3">
        <f t="shared" si="11"/>
        <v>0.191301312</v>
      </c>
    </row>
    <row r="449">
      <c r="A449" s="1" t="s">
        <v>4082</v>
      </c>
      <c r="B449" s="2" t="s">
        <v>43</v>
      </c>
      <c r="C449" s="2" t="s">
        <v>4096</v>
      </c>
      <c r="D449" s="2" t="s">
        <v>4097</v>
      </c>
      <c r="E449" s="2" t="s">
        <v>4098</v>
      </c>
      <c r="F449" s="2" t="s">
        <v>4099</v>
      </c>
      <c r="G449" s="2" t="s">
        <v>55</v>
      </c>
      <c r="H449" s="2" t="s">
        <v>4100</v>
      </c>
      <c r="I449" s="2" t="s">
        <v>4101</v>
      </c>
      <c r="J449" s="2" t="s">
        <v>4102</v>
      </c>
      <c r="K449" s="2" t="s">
        <v>55</v>
      </c>
      <c r="L449" s="2" t="s">
        <v>4103</v>
      </c>
      <c r="M449" s="2" t="s">
        <v>3440</v>
      </c>
      <c r="N449" s="2" t="s">
        <v>3441</v>
      </c>
      <c r="O449" s="2" t="s">
        <v>55</v>
      </c>
      <c r="P449" s="2" t="s">
        <v>55</v>
      </c>
      <c r="Q449" s="3" t="str">
        <f t="shared" si="1"/>
        <v/>
      </c>
      <c r="R449" s="3" t="str">
        <f t="shared" si="2"/>
        <v/>
      </c>
      <c r="S449" s="3" t="str">
        <f t="shared" si="3"/>
        <v/>
      </c>
      <c r="T449" s="3" t="str">
        <f t="shared" si="4"/>
        <v/>
      </c>
      <c r="U449" s="3">
        <f t="shared" si="12"/>
        <v>91</v>
      </c>
      <c r="V449" s="3">
        <f t="shared" si="6"/>
        <v>88</v>
      </c>
      <c r="W449" s="3">
        <f t="shared" si="7"/>
        <v>100</v>
      </c>
      <c r="X449" s="3" t="str">
        <f t="shared" si="8"/>
        <v/>
      </c>
      <c r="Y449" s="3" t="str">
        <f t="shared" si="9"/>
        <v/>
      </c>
      <c r="Z449" s="3" t="str">
        <f t="shared" si="10"/>
        <v/>
      </c>
      <c r="AA449" s="3">
        <f t="shared" si="11"/>
        <v>0</v>
      </c>
    </row>
    <row r="450">
      <c r="A450" s="1" t="s">
        <v>4104</v>
      </c>
      <c r="B450" s="2" t="s">
        <v>28</v>
      </c>
      <c r="C450" s="2" t="s">
        <v>4105</v>
      </c>
      <c r="D450" s="2" t="s">
        <v>4106</v>
      </c>
      <c r="E450" s="2" t="s">
        <v>4107</v>
      </c>
      <c r="F450" s="2" t="s">
        <v>4108</v>
      </c>
      <c r="G450" s="2" t="s">
        <v>4109</v>
      </c>
      <c r="H450" s="2" t="s">
        <v>4110</v>
      </c>
      <c r="I450" s="1" t="s">
        <v>112</v>
      </c>
      <c r="J450" s="1" t="s">
        <v>112</v>
      </c>
      <c r="K450" s="1" t="s">
        <v>112</v>
      </c>
      <c r="L450" s="1" t="s">
        <v>112</v>
      </c>
      <c r="M450" s="1" t="s">
        <v>112</v>
      </c>
      <c r="N450" s="1" t="s">
        <v>112</v>
      </c>
      <c r="O450" s="1" t="s">
        <v>112</v>
      </c>
      <c r="P450" s="1" t="s">
        <v>112</v>
      </c>
      <c r="Q450" s="3">
        <f t="shared" si="1"/>
        <v>5</v>
      </c>
      <c r="R450" s="3">
        <f t="shared" si="2"/>
        <v>-0.17709486</v>
      </c>
      <c r="S450" s="3" t="str">
        <f t="shared" si="3"/>
        <v/>
      </c>
      <c r="T450" s="3" t="str">
        <f t="shared" si="4"/>
        <v/>
      </c>
      <c r="U450" s="3">
        <f t="shared" si="12"/>
        <v>95</v>
      </c>
      <c r="V450" s="3">
        <f t="shared" si="6"/>
        <v>0</v>
      </c>
      <c r="W450" s="3">
        <f t="shared" si="7"/>
        <v>0</v>
      </c>
      <c r="X450" s="3" t="str">
        <f t="shared" si="8"/>
        <v/>
      </c>
      <c r="Y450" s="3" t="str">
        <f t="shared" si="9"/>
        <v/>
      </c>
      <c r="Z450" s="3" t="str">
        <f t="shared" si="10"/>
        <v/>
      </c>
      <c r="AA450" s="3">
        <f t="shared" si="11"/>
        <v>0</v>
      </c>
    </row>
    <row r="451">
      <c r="A451" s="1" t="s">
        <v>4104</v>
      </c>
      <c r="B451" s="2" t="s">
        <v>43</v>
      </c>
      <c r="C451" s="2" t="s">
        <v>4111</v>
      </c>
      <c r="D451" s="2" t="s">
        <v>4112</v>
      </c>
      <c r="E451" s="2" t="s">
        <v>4113</v>
      </c>
      <c r="F451" s="2" t="s">
        <v>4114</v>
      </c>
      <c r="G451" s="2" t="s">
        <v>4115</v>
      </c>
      <c r="H451" s="1" t="s">
        <v>112</v>
      </c>
      <c r="I451" s="1" t="s">
        <v>112</v>
      </c>
      <c r="J451" s="1" t="s">
        <v>112</v>
      </c>
      <c r="K451" s="1" t="s">
        <v>112</v>
      </c>
      <c r="L451" s="1" t="s">
        <v>112</v>
      </c>
      <c r="M451" s="1" t="s">
        <v>112</v>
      </c>
      <c r="N451" s="1" t="s">
        <v>112</v>
      </c>
      <c r="O451" s="1" t="s">
        <v>112</v>
      </c>
      <c r="P451" s="1" t="s">
        <v>112</v>
      </c>
      <c r="Q451" s="3" t="str">
        <f t="shared" si="1"/>
        <v/>
      </c>
      <c r="R451" s="3" t="str">
        <f t="shared" si="2"/>
        <v/>
      </c>
      <c r="S451" s="3" t="str">
        <f t="shared" si="3"/>
        <v/>
      </c>
      <c r="T451" s="3" t="str">
        <f t="shared" si="4"/>
        <v/>
      </c>
      <c r="U451" s="3">
        <f t="shared" si="12"/>
        <v>94</v>
      </c>
      <c r="V451" s="3">
        <f t="shared" si="6"/>
        <v>0</v>
      </c>
      <c r="W451" s="3">
        <f t="shared" si="7"/>
        <v>0</v>
      </c>
      <c r="X451" s="3" t="str">
        <f t="shared" si="8"/>
        <v/>
      </c>
      <c r="Y451" s="3" t="str">
        <f t="shared" si="9"/>
        <v/>
      </c>
      <c r="Z451" s="3" t="str">
        <f t="shared" si="10"/>
        <v/>
      </c>
      <c r="AA451" s="3">
        <f t="shared" si="11"/>
        <v>0</v>
      </c>
    </row>
    <row r="452">
      <c r="A452" s="1" t="s">
        <v>4116</v>
      </c>
      <c r="B452" s="2" t="s">
        <v>28</v>
      </c>
      <c r="C452" s="2" t="s">
        <v>4117</v>
      </c>
      <c r="D452" s="2" t="s">
        <v>4118</v>
      </c>
      <c r="E452" s="2" t="s">
        <v>4119</v>
      </c>
      <c r="F452" s="2" t="s">
        <v>4120</v>
      </c>
      <c r="G452" s="2" t="s">
        <v>4121</v>
      </c>
      <c r="H452" s="2" t="s">
        <v>4122</v>
      </c>
      <c r="I452" s="2" t="s">
        <v>4123</v>
      </c>
      <c r="J452" s="2" t="s">
        <v>55</v>
      </c>
      <c r="K452" s="2" t="s">
        <v>4124</v>
      </c>
      <c r="L452" s="2" t="s">
        <v>4125</v>
      </c>
      <c r="M452" s="2" t="s">
        <v>4126</v>
      </c>
      <c r="N452" s="2" t="s">
        <v>4127</v>
      </c>
      <c r="O452" s="2" t="s">
        <v>4128</v>
      </c>
      <c r="P452" s="2" t="s">
        <v>55</v>
      </c>
      <c r="Q452" s="3">
        <f t="shared" si="1"/>
        <v>5</v>
      </c>
      <c r="R452" s="3">
        <f t="shared" si="2"/>
        <v>0.711259258</v>
      </c>
      <c r="S452" s="3">
        <f t="shared" si="3"/>
        <v>0.93629409</v>
      </c>
      <c r="T452" s="3">
        <f t="shared" si="4"/>
        <v>0.194059298</v>
      </c>
      <c r="U452" s="3">
        <f t="shared" si="12"/>
        <v>93</v>
      </c>
      <c r="V452" s="3">
        <f t="shared" si="6"/>
        <v>91</v>
      </c>
      <c r="W452" s="3">
        <f t="shared" si="7"/>
        <v>98</v>
      </c>
      <c r="X452" s="3" t="str">
        <f t="shared" si="8"/>
        <v/>
      </c>
      <c r="Y452" s="3" t="str">
        <f t="shared" si="9"/>
        <v/>
      </c>
      <c r="Z452" s="3" t="str">
        <f t="shared" si="10"/>
        <v/>
      </c>
      <c r="AA452" s="3">
        <f t="shared" si="11"/>
        <v>0.742234792</v>
      </c>
    </row>
    <row r="453">
      <c r="A453" s="1" t="s">
        <v>4116</v>
      </c>
      <c r="B453" s="2" t="s">
        <v>43</v>
      </c>
      <c r="C453" s="2" t="s">
        <v>4129</v>
      </c>
      <c r="D453" s="2" t="s">
        <v>4130</v>
      </c>
      <c r="E453" s="2" t="s">
        <v>4131</v>
      </c>
      <c r="F453" s="2" t="s">
        <v>55</v>
      </c>
      <c r="G453" s="2" t="s">
        <v>4132</v>
      </c>
      <c r="H453" s="2" t="s">
        <v>55</v>
      </c>
      <c r="I453" s="2" t="s">
        <v>4133</v>
      </c>
      <c r="J453" s="2" t="s">
        <v>55</v>
      </c>
      <c r="K453" s="2" t="s">
        <v>4134</v>
      </c>
      <c r="L453" s="2" t="s">
        <v>55</v>
      </c>
      <c r="M453" s="2" t="s">
        <v>4135</v>
      </c>
      <c r="N453" s="2" t="s">
        <v>55</v>
      </c>
      <c r="O453" s="2" t="s">
        <v>4136</v>
      </c>
      <c r="P453" s="2" t="s">
        <v>55</v>
      </c>
      <c r="Q453" s="3" t="str">
        <f t="shared" si="1"/>
        <v/>
      </c>
      <c r="R453" s="3" t="str">
        <f t="shared" si="2"/>
        <v/>
      </c>
      <c r="S453" s="3" t="str">
        <f t="shared" si="3"/>
        <v/>
      </c>
      <c r="T453" s="3" t="str">
        <f t="shared" si="4"/>
        <v/>
      </c>
      <c r="U453" s="3">
        <f t="shared" si="12"/>
        <v>97</v>
      </c>
      <c r="V453" s="3">
        <f t="shared" si="6"/>
        <v>96</v>
      </c>
      <c r="W453" s="3">
        <f t="shared" si="7"/>
        <v>99</v>
      </c>
      <c r="X453" s="3" t="str">
        <f t="shared" si="8"/>
        <v/>
      </c>
      <c r="Y453" s="3" t="str">
        <f t="shared" si="9"/>
        <v/>
      </c>
      <c r="Z453" s="3" t="str">
        <f t="shared" si="10"/>
        <v/>
      </c>
      <c r="AA453" s="3">
        <f t="shared" si="11"/>
        <v>0</v>
      </c>
    </row>
    <row r="454">
      <c r="A454" s="1" t="s">
        <v>4137</v>
      </c>
      <c r="B454" s="2" t="s">
        <v>28</v>
      </c>
      <c r="C454" s="2" t="s">
        <v>4138</v>
      </c>
      <c r="D454" s="2" t="s">
        <v>55</v>
      </c>
      <c r="E454" s="2" t="s">
        <v>4139</v>
      </c>
      <c r="F454" s="2" t="s">
        <v>55</v>
      </c>
      <c r="G454" s="2" t="s">
        <v>4140</v>
      </c>
      <c r="H454" s="2" t="s">
        <v>55</v>
      </c>
      <c r="I454" s="2" t="s">
        <v>4139</v>
      </c>
      <c r="J454" s="2" t="s">
        <v>55</v>
      </c>
      <c r="K454" s="2" t="s">
        <v>4140</v>
      </c>
      <c r="L454" s="2" t="s">
        <v>55</v>
      </c>
      <c r="M454" s="1" t="s">
        <v>112</v>
      </c>
      <c r="N454" s="1" t="s">
        <v>112</v>
      </c>
      <c r="O454" s="1" t="s">
        <v>112</v>
      </c>
      <c r="P454" s="1" t="s">
        <v>112</v>
      </c>
      <c r="Q454" s="3">
        <f t="shared" si="1"/>
        <v>5</v>
      </c>
      <c r="R454" s="3">
        <f t="shared" si="2"/>
        <v>-0.035618834</v>
      </c>
      <c r="S454" s="3">
        <f t="shared" si="3"/>
        <v>-0.035618834</v>
      </c>
      <c r="T454" s="3" t="str">
        <f t="shared" si="4"/>
        <v/>
      </c>
      <c r="U454" s="3">
        <f t="shared" si="12"/>
        <v>99</v>
      </c>
      <c r="V454" s="3">
        <f t="shared" si="6"/>
        <v>99</v>
      </c>
      <c r="W454" s="3">
        <f t="shared" si="7"/>
        <v>0</v>
      </c>
      <c r="X454" s="3" t="str">
        <f t="shared" si="8"/>
        <v/>
      </c>
      <c r="Y454" s="3" t="str">
        <f t="shared" si="9"/>
        <v/>
      </c>
      <c r="Z454" s="3" t="str">
        <f t="shared" si="10"/>
        <v/>
      </c>
      <c r="AA454" s="3">
        <f t="shared" si="11"/>
        <v>-0.035618834</v>
      </c>
    </row>
    <row r="455">
      <c r="A455" s="1" t="s">
        <v>4137</v>
      </c>
      <c r="B455" s="2" t="s">
        <v>43</v>
      </c>
      <c r="C455" s="2" t="s">
        <v>4141</v>
      </c>
      <c r="D455" s="2" t="s">
        <v>55</v>
      </c>
      <c r="E455" s="2" t="s">
        <v>4142</v>
      </c>
      <c r="F455" s="2" t="s">
        <v>55</v>
      </c>
      <c r="G455" s="2" t="s">
        <v>4143</v>
      </c>
      <c r="H455" s="2" t="s">
        <v>55</v>
      </c>
      <c r="I455" s="2" t="s">
        <v>4142</v>
      </c>
      <c r="J455" s="2" t="s">
        <v>55</v>
      </c>
      <c r="K455" s="2" t="s">
        <v>4143</v>
      </c>
      <c r="L455" s="2" t="s">
        <v>55</v>
      </c>
      <c r="M455" s="1" t="s">
        <v>112</v>
      </c>
      <c r="N455" s="1" t="s">
        <v>112</v>
      </c>
      <c r="O455" s="1" t="s">
        <v>112</v>
      </c>
      <c r="P455" s="1" t="s">
        <v>112</v>
      </c>
      <c r="Q455" s="3" t="str">
        <f t="shared" si="1"/>
        <v/>
      </c>
      <c r="R455" s="3" t="str">
        <f t="shared" si="2"/>
        <v/>
      </c>
      <c r="S455" s="3" t="str">
        <f t="shared" si="3"/>
        <v/>
      </c>
      <c r="T455" s="3" t="str">
        <f t="shared" si="4"/>
        <v/>
      </c>
      <c r="U455" s="3">
        <f t="shared" si="12"/>
        <v>99</v>
      </c>
      <c r="V455" s="3">
        <f t="shared" si="6"/>
        <v>99</v>
      </c>
      <c r="W455" s="3">
        <f t="shared" si="7"/>
        <v>0</v>
      </c>
      <c r="X455" s="3" t="str">
        <f t="shared" si="8"/>
        <v/>
      </c>
      <c r="Y455" s="3" t="str">
        <f t="shared" si="9"/>
        <v/>
      </c>
      <c r="Z455" s="3" t="str">
        <f t="shared" si="10"/>
        <v/>
      </c>
      <c r="AA455" s="3">
        <f t="shared" si="11"/>
        <v>0</v>
      </c>
    </row>
    <row r="456">
      <c r="A456" s="1" t="s">
        <v>4144</v>
      </c>
      <c r="B456" s="2" t="s">
        <v>28</v>
      </c>
      <c r="C456" s="2" t="s">
        <v>4145</v>
      </c>
      <c r="D456" s="2" t="s">
        <v>4146</v>
      </c>
      <c r="E456" s="2" t="s">
        <v>4147</v>
      </c>
      <c r="F456" s="2" t="s">
        <v>4148</v>
      </c>
      <c r="G456" s="2" t="s">
        <v>4149</v>
      </c>
      <c r="H456" s="1" t="s">
        <v>112</v>
      </c>
      <c r="I456" s="2" t="s">
        <v>4150</v>
      </c>
      <c r="J456" s="2" t="s">
        <v>4151</v>
      </c>
      <c r="K456" s="2" t="s">
        <v>4152</v>
      </c>
      <c r="L456" s="1" t="s">
        <v>112</v>
      </c>
      <c r="M456" s="2" t="s">
        <v>4153</v>
      </c>
      <c r="N456" s="2" t="s">
        <v>4154</v>
      </c>
      <c r="O456" s="2" t="s">
        <v>4155</v>
      </c>
      <c r="P456" s="1" t="s">
        <v>112</v>
      </c>
      <c r="Q456" s="3">
        <f t="shared" si="1"/>
        <v>5</v>
      </c>
      <c r="R456" s="3">
        <f t="shared" si="2"/>
        <v>0.300108102</v>
      </c>
      <c r="S456" s="3">
        <f t="shared" si="3"/>
        <v>0.666882814</v>
      </c>
      <c r="T456" s="3">
        <f t="shared" si="4"/>
        <v>0.184140962</v>
      </c>
      <c r="U456" s="3">
        <f t="shared" si="12"/>
        <v>96</v>
      </c>
      <c r="V456" s="3">
        <f t="shared" si="6"/>
        <v>95</v>
      </c>
      <c r="W456" s="3">
        <f t="shared" si="7"/>
        <v>97</v>
      </c>
      <c r="X456" s="3" t="str">
        <f t="shared" si="8"/>
        <v/>
      </c>
      <c r="Y456" s="3" t="str">
        <f t="shared" si="9"/>
        <v/>
      </c>
      <c r="Z456" s="3" t="str">
        <f t="shared" si="10"/>
        <v/>
      </c>
      <c r="AA456" s="3">
        <f t="shared" si="11"/>
        <v>0.482741852</v>
      </c>
    </row>
    <row r="457">
      <c r="A457" s="1" t="s">
        <v>4144</v>
      </c>
      <c r="B457" s="2" t="s">
        <v>43</v>
      </c>
      <c r="C457" s="2" t="s">
        <v>4156</v>
      </c>
      <c r="D457" s="2" t="s">
        <v>4157</v>
      </c>
      <c r="E457" s="2" t="s">
        <v>4158</v>
      </c>
      <c r="F457" s="2" t="s">
        <v>4159</v>
      </c>
      <c r="G457" s="2" t="s">
        <v>4160</v>
      </c>
      <c r="H457" s="1" t="s">
        <v>112</v>
      </c>
      <c r="I457" s="2" t="s">
        <v>4161</v>
      </c>
      <c r="J457" s="2" t="s">
        <v>4162</v>
      </c>
      <c r="K457" s="2" t="s">
        <v>4163</v>
      </c>
      <c r="L457" s="1" t="s">
        <v>112</v>
      </c>
      <c r="M457" s="2" t="s">
        <v>4164</v>
      </c>
      <c r="N457" s="2" t="s">
        <v>4165</v>
      </c>
      <c r="O457" s="2" t="s">
        <v>4166</v>
      </c>
      <c r="P457" s="1" t="s">
        <v>112</v>
      </c>
      <c r="Q457" s="3" t="str">
        <f t="shared" si="1"/>
        <v/>
      </c>
      <c r="R457" s="3" t="str">
        <f t="shared" si="2"/>
        <v/>
      </c>
      <c r="S457" s="3" t="str">
        <f t="shared" si="3"/>
        <v/>
      </c>
      <c r="T457" s="3" t="str">
        <f t="shared" si="4"/>
        <v/>
      </c>
      <c r="U457" s="3">
        <f t="shared" si="12"/>
        <v>98</v>
      </c>
      <c r="V457" s="3">
        <f t="shared" si="6"/>
        <v>99</v>
      </c>
      <c r="W457" s="3">
        <f t="shared" si="7"/>
        <v>98</v>
      </c>
      <c r="X457" s="3" t="str">
        <f t="shared" si="8"/>
        <v/>
      </c>
      <c r="Y457" s="3" t="str">
        <f t="shared" si="9"/>
        <v/>
      </c>
      <c r="Z457" s="3" t="str">
        <f t="shared" si="10"/>
        <v/>
      </c>
      <c r="AA457" s="3">
        <f t="shared" si="11"/>
        <v>0</v>
      </c>
    </row>
    <row r="458">
      <c r="A458" s="1" t="s">
        <v>4167</v>
      </c>
      <c r="B458" s="2" t="s">
        <v>28</v>
      </c>
      <c r="C458" s="2" t="s">
        <v>4168</v>
      </c>
      <c r="D458" s="2" t="s">
        <v>4169</v>
      </c>
      <c r="E458" s="2" t="s">
        <v>4170</v>
      </c>
      <c r="F458" s="2" t="s">
        <v>4171</v>
      </c>
      <c r="G458" s="2" t="s">
        <v>4172</v>
      </c>
      <c r="H458" s="2" t="s">
        <v>4173</v>
      </c>
      <c r="I458" s="2" t="s">
        <v>4174</v>
      </c>
      <c r="J458" s="2" t="s">
        <v>4175</v>
      </c>
      <c r="K458" s="2" t="s">
        <v>4176</v>
      </c>
      <c r="L458" s="2" t="s">
        <v>4177</v>
      </c>
      <c r="M458" s="2" t="s">
        <v>4178</v>
      </c>
      <c r="N458" s="2" t="s">
        <v>4179</v>
      </c>
      <c r="O458" s="2" t="s">
        <v>4180</v>
      </c>
      <c r="P458" s="2" t="s">
        <v>4181</v>
      </c>
      <c r="Q458" s="3">
        <f t="shared" si="1"/>
        <v>5</v>
      </c>
      <c r="R458" s="3">
        <f t="shared" si="2"/>
        <v>0.976940242</v>
      </c>
      <c r="S458" s="3">
        <f t="shared" si="3"/>
        <v>1.144613242</v>
      </c>
      <c r="T458" s="3">
        <f t="shared" si="4"/>
        <v>0.188323488</v>
      </c>
      <c r="U458" s="3">
        <f t="shared" si="12"/>
        <v>56</v>
      </c>
      <c r="V458" s="3">
        <f t="shared" si="6"/>
        <v>45</v>
      </c>
      <c r="W458" s="3">
        <f t="shared" si="7"/>
        <v>76</v>
      </c>
      <c r="X458" s="3" t="str">
        <f t="shared" si="8"/>
        <v/>
      </c>
      <c r="Y458" s="3" t="str">
        <f t="shared" si="9"/>
        <v/>
      </c>
      <c r="Z458" s="3" t="str">
        <f t="shared" si="10"/>
        <v/>
      </c>
      <c r="AA458" s="3">
        <f t="shared" si="11"/>
        <v>0.956289754</v>
      </c>
    </row>
    <row r="459">
      <c r="A459" s="1" t="s">
        <v>4167</v>
      </c>
      <c r="B459" s="2" t="s">
        <v>43</v>
      </c>
      <c r="C459" s="2" t="s">
        <v>4182</v>
      </c>
      <c r="D459" s="2" t="s">
        <v>4183</v>
      </c>
      <c r="E459" s="2" t="s">
        <v>4184</v>
      </c>
      <c r="F459" s="2" t="s">
        <v>4185</v>
      </c>
      <c r="G459" s="2" t="s">
        <v>4186</v>
      </c>
      <c r="H459" s="2" t="s">
        <v>4187</v>
      </c>
      <c r="I459" s="2" t="s">
        <v>4188</v>
      </c>
      <c r="J459" s="2" t="s">
        <v>4189</v>
      </c>
      <c r="K459" s="2" t="s">
        <v>4190</v>
      </c>
      <c r="L459" s="2" t="s">
        <v>4191</v>
      </c>
      <c r="M459" s="2" t="s">
        <v>4192</v>
      </c>
      <c r="N459" s="2" t="s">
        <v>4193</v>
      </c>
      <c r="O459" s="2" t="s">
        <v>4194</v>
      </c>
      <c r="P459" s="2" t="s">
        <v>55</v>
      </c>
      <c r="Q459" s="3" t="str">
        <f t="shared" si="1"/>
        <v/>
      </c>
      <c r="R459" s="3" t="str">
        <f t="shared" si="2"/>
        <v/>
      </c>
      <c r="S459" s="3" t="str">
        <f t="shared" si="3"/>
        <v/>
      </c>
      <c r="T459" s="3" t="str">
        <f t="shared" si="4"/>
        <v/>
      </c>
      <c r="U459" s="3">
        <f t="shared" si="12"/>
        <v>61</v>
      </c>
      <c r="V459" s="3">
        <f t="shared" si="6"/>
        <v>51</v>
      </c>
      <c r="W459" s="3">
        <f t="shared" si="7"/>
        <v>77</v>
      </c>
      <c r="X459" s="3" t="str">
        <f t="shared" si="8"/>
        <v/>
      </c>
      <c r="Y459" s="3" t="str">
        <f t="shared" si="9"/>
        <v/>
      </c>
      <c r="Z459" s="3" t="str">
        <f t="shared" si="10"/>
        <v/>
      </c>
      <c r="AA459" s="3">
        <f t="shared" si="11"/>
        <v>0</v>
      </c>
    </row>
    <row r="460">
      <c r="A460" s="1" t="s">
        <v>4195</v>
      </c>
      <c r="B460" s="2" t="s">
        <v>28</v>
      </c>
      <c r="C460" s="2" t="s">
        <v>4196</v>
      </c>
      <c r="D460" s="2" t="s">
        <v>4197</v>
      </c>
      <c r="E460" s="2" t="s">
        <v>4198</v>
      </c>
      <c r="F460" s="2" t="s">
        <v>4199</v>
      </c>
      <c r="G460" s="2" t="s">
        <v>4200</v>
      </c>
      <c r="H460" s="2" t="s">
        <v>4201</v>
      </c>
      <c r="I460" s="2" t="s">
        <v>4202</v>
      </c>
      <c r="J460" s="2" t="s">
        <v>4203</v>
      </c>
      <c r="K460" s="2" t="s">
        <v>4204</v>
      </c>
      <c r="L460" s="2" t="s">
        <v>4205</v>
      </c>
      <c r="M460" s="2" t="s">
        <v>4206</v>
      </c>
      <c r="N460" s="2" t="s">
        <v>4207</v>
      </c>
      <c r="O460" s="2" t="s">
        <v>4208</v>
      </c>
      <c r="P460" s="2" t="s">
        <v>4209</v>
      </c>
      <c r="Q460" s="3">
        <f t="shared" si="1"/>
        <v>5</v>
      </c>
      <c r="R460" s="3">
        <f t="shared" si="2"/>
        <v>0.814727458</v>
      </c>
      <c r="S460" s="3">
        <f t="shared" si="3"/>
        <v>0.922090802</v>
      </c>
      <c r="T460" s="3">
        <f t="shared" si="4"/>
        <v>0.165671474</v>
      </c>
      <c r="U460" s="3">
        <f t="shared" si="12"/>
        <v>61</v>
      </c>
      <c r="V460" s="3">
        <f t="shared" si="6"/>
        <v>44</v>
      </c>
      <c r="W460" s="3">
        <f t="shared" si="7"/>
        <v>86</v>
      </c>
      <c r="X460" s="3" t="str">
        <f t="shared" si="8"/>
        <v/>
      </c>
      <c r="Y460" s="3" t="str">
        <f t="shared" si="9"/>
        <v/>
      </c>
      <c r="Z460" s="3" t="str">
        <f t="shared" si="10"/>
        <v/>
      </c>
      <c r="AA460" s="3">
        <f t="shared" si="11"/>
        <v>0.756419328</v>
      </c>
    </row>
    <row r="461">
      <c r="A461" s="1" t="s">
        <v>4195</v>
      </c>
      <c r="B461" s="2" t="s">
        <v>43</v>
      </c>
      <c r="C461" s="2" t="s">
        <v>4210</v>
      </c>
      <c r="D461" s="2" t="s">
        <v>4211</v>
      </c>
      <c r="E461" s="2" t="s">
        <v>4212</v>
      </c>
      <c r="F461" s="2" t="s">
        <v>4213</v>
      </c>
      <c r="G461" s="2" t="s">
        <v>4214</v>
      </c>
      <c r="H461" s="2" t="s">
        <v>4215</v>
      </c>
      <c r="I461" s="2" t="s">
        <v>4216</v>
      </c>
      <c r="J461" s="2" t="s">
        <v>4217</v>
      </c>
      <c r="K461" s="2" t="s">
        <v>4218</v>
      </c>
      <c r="L461" s="2" t="s">
        <v>4219</v>
      </c>
      <c r="M461" s="2" t="s">
        <v>4220</v>
      </c>
      <c r="N461" s="2" t="s">
        <v>4221</v>
      </c>
      <c r="O461" s="2" t="s">
        <v>4222</v>
      </c>
      <c r="P461" s="2" t="s">
        <v>4223</v>
      </c>
      <c r="Q461" s="3" t="str">
        <f t="shared" si="1"/>
        <v/>
      </c>
      <c r="R461" s="3" t="str">
        <f t="shared" si="2"/>
        <v/>
      </c>
      <c r="S461" s="3" t="str">
        <f t="shared" si="3"/>
        <v/>
      </c>
      <c r="T461" s="3" t="str">
        <f t="shared" si="4"/>
        <v/>
      </c>
      <c r="U461" s="3">
        <f t="shared" si="12"/>
        <v>65</v>
      </c>
      <c r="V461" s="3">
        <f t="shared" si="6"/>
        <v>48</v>
      </c>
      <c r="W461" s="3">
        <f t="shared" si="7"/>
        <v>87</v>
      </c>
      <c r="X461" s="3" t="str">
        <f t="shared" si="8"/>
        <v/>
      </c>
      <c r="Y461" s="3" t="str">
        <f t="shared" si="9"/>
        <v/>
      </c>
      <c r="Z461" s="3" t="str">
        <f t="shared" si="10"/>
        <v/>
      </c>
      <c r="AA461" s="3">
        <f t="shared" si="11"/>
        <v>0</v>
      </c>
    </row>
    <row r="462">
      <c r="A462" s="1" t="s">
        <v>4224</v>
      </c>
      <c r="B462" s="2" t="s">
        <v>28</v>
      </c>
      <c r="C462" s="2" t="s">
        <v>4225</v>
      </c>
      <c r="D462" s="2" t="s">
        <v>4226</v>
      </c>
      <c r="E462" s="2" t="s">
        <v>4227</v>
      </c>
      <c r="F462" s="2" t="s">
        <v>4228</v>
      </c>
      <c r="G462" s="2" t="s">
        <v>4229</v>
      </c>
      <c r="H462" s="2" t="s">
        <v>4230</v>
      </c>
      <c r="I462" s="2" t="s">
        <v>4231</v>
      </c>
      <c r="J462" s="2" t="s">
        <v>4232</v>
      </c>
      <c r="K462" s="2" t="s">
        <v>4233</v>
      </c>
      <c r="L462" s="2" t="s">
        <v>4234</v>
      </c>
      <c r="M462" s="2" t="s">
        <v>4235</v>
      </c>
      <c r="N462" s="2" t="s">
        <v>4236</v>
      </c>
      <c r="O462" s="2" t="s">
        <v>4237</v>
      </c>
      <c r="P462" s="2" t="s">
        <v>4238</v>
      </c>
      <c r="Q462" s="3">
        <f t="shared" si="1"/>
        <v>5</v>
      </c>
      <c r="R462" s="3">
        <f t="shared" si="2"/>
        <v>-0.4576943</v>
      </c>
      <c r="S462" s="3">
        <f t="shared" si="3"/>
        <v>-0.593526372</v>
      </c>
      <c r="T462" s="3">
        <f t="shared" si="4"/>
        <v>-0.134701358</v>
      </c>
      <c r="U462" s="3">
        <f t="shared" si="12"/>
        <v>65</v>
      </c>
      <c r="V462" s="3">
        <f t="shared" si="6"/>
        <v>51</v>
      </c>
      <c r="W462" s="3">
        <f t="shared" si="7"/>
        <v>94</v>
      </c>
      <c r="X462" s="3" t="str">
        <f t="shared" si="8"/>
        <v/>
      </c>
      <c r="Y462" s="3" t="str">
        <f t="shared" si="9"/>
        <v/>
      </c>
      <c r="Z462" s="3" t="str">
        <f t="shared" si="10"/>
        <v/>
      </c>
      <c r="AA462" s="3">
        <f t="shared" si="11"/>
        <v>-0.458825014</v>
      </c>
    </row>
    <row r="463">
      <c r="A463" s="1" t="s">
        <v>4224</v>
      </c>
      <c r="B463" s="2" t="s">
        <v>43</v>
      </c>
      <c r="C463" s="2" t="s">
        <v>4239</v>
      </c>
      <c r="D463" s="2" t="s">
        <v>4240</v>
      </c>
      <c r="E463" s="2" t="s">
        <v>4241</v>
      </c>
      <c r="F463" s="2" t="s">
        <v>4242</v>
      </c>
      <c r="G463" s="2" t="s">
        <v>4243</v>
      </c>
      <c r="H463" s="2" t="s">
        <v>4244</v>
      </c>
      <c r="I463" s="2" t="s">
        <v>4245</v>
      </c>
      <c r="J463" s="2" t="s">
        <v>4246</v>
      </c>
      <c r="K463" s="2" t="s">
        <v>4247</v>
      </c>
      <c r="L463" s="2" t="s">
        <v>4248</v>
      </c>
      <c r="M463" s="2" t="s">
        <v>4249</v>
      </c>
      <c r="N463" s="2" t="s">
        <v>4250</v>
      </c>
      <c r="O463" s="2" t="s">
        <v>4251</v>
      </c>
      <c r="P463" s="2" t="s">
        <v>4252</v>
      </c>
      <c r="Q463" s="3" t="str">
        <f t="shared" si="1"/>
        <v/>
      </c>
      <c r="R463" s="3" t="str">
        <f t="shared" si="2"/>
        <v/>
      </c>
      <c r="S463" s="3" t="str">
        <f t="shared" si="3"/>
        <v/>
      </c>
      <c r="T463" s="3" t="str">
        <f t="shared" si="4"/>
        <v/>
      </c>
      <c r="U463" s="3">
        <f t="shared" si="12"/>
        <v>63</v>
      </c>
      <c r="V463" s="3">
        <f t="shared" si="6"/>
        <v>48</v>
      </c>
      <c r="W463" s="3">
        <f t="shared" si="7"/>
        <v>93</v>
      </c>
      <c r="X463" s="3" t="str">
        <f t="shared" si="8"/>
        <v/>
      </c>
      <c r="Y463" s="3" t="str">
        <f t="shared" si="9"/>
        <v/>
      </c>
      <c r="Z463" s="3" t="str">
        <f t="shared" si="10"/>
        <v/>
      </c>
      <c r="AA463" s="3">
        <f t="shared" si="11"/>
        <v>0</v>
      </c>
    </row>
    <row r="469">
      <c r="D469" s="3">
        <f>IFERROR(__xludf.DUMMYFUNCTION("COUNTUNIQUE(
   FILTER(
      A2:A463,
      E2:E463 = 100,
      COUNTIF(FILTER(E2:E463, E2:E463 = 100), A2:A463) = 2
   )
)"),1.0)</f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4253</v>
      </c>
      <c r="B2" s="3">
        <f>ROUND(AVERAGE('Estimates of the use of water ('!Q2:Q463), 2)</f>
        <v>4.8</v>
      </c>
    </row>
    <row r="3">
      <c r="A3" s="1" t="s">
        <v>4254</v>
      </c>
      <c r="B3" s="3">
        <f>MIN('Estimates of the use of water ('!Q2:Q463)</f>
        <v>1</v>
      </c>
    </row>
    <row r="4">
      <c r="A4" s="1" t="s">
        <v>4255</v>
      </c>
      <c r="B4" s="3">
        <f>MAX('Estimates of the use of water ('!Q2:Q463)</f>
        <v>5</v>
      </c>
    </row>
    <row r="5">
      <c r="A5" s="1" t="s">
        <v>4256</v>
      </c>
      <c r="B5" s="3">
        <f>AVERAGE('Estimates of the use of water ('!R2:R463)</f>
        <v>0.2767441419</v>
      </c>
    </row>
    <row r="6">
      <c r="A6" s="1" t="s">
        <v>4257</v>
      </c>
      <c r="B6" s="3">
        <f>AVERAGE('Estimates of the use of water ('!S2:S463)</f>
        <v>0.484493696</v>
      </c>
    </row>
    <row r="7">
      <c r="A7" s="1" t="s">
        <v>4258</v>
      </c>
      <c r="B7" s="3">
        <f>AVERAGE('Estimates of the use of water ('!S2:T463)</f>
        <v>0.3130272504</v>
      </c>
    </row>
    <row r="8">
      <c r="A8" s="1" t="s">
        <v>4259</v>
      </c>
      <c r="B8" s="3">
        <f>MIN('Estimates of the use of water ('!R2:R463)</f>
        <v>-1.021788674</v>
      </c>
    </row>
    <row r="9">
      <c r="A9" s="1" t="s">
        <v>4260</v>
      </c>
      <c r="B9" s="3">
        <f>MIN('Estimates of the use of water ('!S2:Z2463)</f>
        <v>-2.488795602</v>
      </c>
    </row>
    <row r="10">
      <c r="A10" s="1" t="s">
        <v>4261</v>
      </c>
      <c r="B10" s="3">
        <f>MIN('Estimates of the use of water ('!T2:T463)</f>
        <v>-1.620086812</v>
      </c>
    </row>
    <row r="11">
      <c r="A11" s="1" t="s">
        <v>4262</v>
      </c>
      <c r="B11" s="3">
        <f>MAX('Estimates of the use of water ('!R2:R463)</f>
        <v>2.750326488</v>
      </c>
    </row>
    <row r="12">
      <c r="A12" s="1" t="s">
        <v>4263</v>
      </c>
      <c r="B12" s="3">
        <f>MAX('Estimates of the use of water ('!S2:S463)</f>
        <v>2.667882638</v>
      </c>
    </row>
    <row r="13">
      <c r="A13" s="1" t="s">
        <v>4264</v>
      </c>
      <c r="B13" s="3">
        <f>MAX('Estimates of the use of water ('!T2:T463)</f>
        <v>2.668211856</v>
      </c>
    </row>
    <row r="14">
      <c r="A14" s="1" t="s">
        <v>4265</v>
      </c>
      <c r="B14" s="3">
        <f>COUNTBLANK('Estimates of the use of water ('!R2:R463)</f>
        <v>233</v>
      </c>
    </row>
    <row r="15">
      <c r="A15" s="1" t="s">
        <v>4266</v>
      </c>
      <c r="B15" s="3">
        <f>COUNTBLANK('Estimates of the use of water ('!S2:S463)</f>
        <v>295</v>
      </c>
    </row>
    <row r="16">
      <c r="A16" s="1" t="s">
        <v>4267</v>
      </c>
      <c r="B16" s="3">
        <f>COUNTBLANK('Estimates of the use of water ('!R2:T463)</f>
        <v>809</v>
      </c>
    </row>
    <row r="17">
      <c r="A17" s="1" t="s">
        <v>23</v>
      </c>
      <c r="B17" s="3">
        <f>COUNTIFS('Estimates of the use of water ('!X2:X463,"full access")</f>
        <v>62</v>
      </c>
    </row>
    <row r="18">
      <c r="A18" s="1" t="s">
        <v>24</v>
      </c>
      <c r="B18" s="3">
        <f>COUNTIFS('Estimates of the use of water ('!Y3:Y463,"full access")</f>
        <v>29</v>
      </c>
    </row>
    <row r="19">
      <c r="A19" s="1" t="s">
        <v>25</v>
      </c>
      <c r="B19" s="3">
        <f>COUNTIFS('Estimates of the use of water ('!Z3:Z463,"full access")</f>
        <v>55</v>
      </c>
    </row>
    <row r="20">
      <c r="A20" s="1" t="s">
        <v>4268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4269</v>
      </c>
    </row>
    <row r="2">
      <c r="A2" s="1" t="s">
        <v>27</v>
      </c>
      <c r="B2" s="1" t="s">
        <v>4270</v>
      </c>
    </row>
    <row r="3">
      <c r="A3" s="1" t="s">
        <v>56</v>
      </c>
      <c r="B3" s="1" t="s">
        <v>4271</v>
      </c>
    </row>
    <row r="4">
      <c r="A4" s="1" t="s">
        <v>79</v>
      </c>
      <c r="B4" s="1" t="s">
        <v>4272</v>
      </c>
    </row>
    <row r="5">
      <c r="A5" s="1" t="s">
        <v>107</v>
      </c>
      <c r="B5" s="1" t="s">
        <v>4273</v>
      </c>
    </row>
    <row r="6">
      <c r="A6" s="1" t="s">
        <v>117</v>
      </c>
      <c r="B6" s="1" t="s">
        <v>4271</v>
      </c>
    </row>
    <row r="7">
      <c r="A7" s="1" t="s">
        <v>125</v>
      </c>
      <c r="B7" s="1" t="s">
        <v>4274</v>
      </c>
    </row>
    <row r="8">
      <c r="A8" s="1" t="s">
        <v>154</v>
      </c>
      <c r="B8" s="1" t="s">
        <v>4275</v>
      </c>
    </row>
    <row r="9">
      <c r="A9" s="1" t="s">
        <v>160</v>
      </c>
      <c r="B9" s="1" t="s">
        <v>4275</v>
      </c>
    </row>
    <row r="10">
      <c r="A10" s="1" t="s">
        <v>168</v>
      </c>
      <c r="B10" s="1" t="s">
        <v>4275</v>
      </c>
    </row>
    <row r="11">
      <c r="A11" s="1" t="s">
        <v>183</v>
      </c>
      <c r="B11" s="1" t="s">
        <v>4271</v>
      </c>
    </row>
    <row r="12">
      <c r="A12" s="1" t="s">
        <v>199</v>
      </c>
      <c r="B12" s="1" t="s">
        <v>4275</v>
      </c>
    </row>
    <row r="13">
      <c r="A13" s="1" t="s">
        <v>208</v>
      </c>
      <c r="B13" s="1" t="s">
        <v>4273</v>
      </c>
    </row>
    <row r="14">
      <c r="A14" s="1" t="s">
        <v>219</v>
      </c>
      <c r="B14" s="1" t="s">
        <v>4271</v>
      </c>
    </row>
    <row r="15">
      <c r="A15" s="1" t="s">
        <v>224</v>
      </c>
      <c r="B15" s="1" t="s">
        <v>4271</v>
      </c>
    </row>
    <row r="16">
      <c r="A16" s="1" t="s">
        <v>246</v>
      </c>
      <c r="B16" s="1" t="s">
        <v>4275</v>
      </c>
    </row>
    <row r="17">
      <c r="A17" s="1" t="s">
        <v>254</v>
      </c>
      <c r="B17" s="1" t="s">
        <v>4271</v>
      </c>
    </row>
    <row r="18">
      <c r="A18" s="1" t="s">
        <v>259</v>
      </c>
      <c r="B18" s="1" t="s">
        <v>4270</v>
      </c>
    </row>
    <row r="19">
      <c r="A19" s="1" t="s">
        <v>288</v>
      </c>
      <c r="B19" s="1" t="s">
        <v>4275</v>
      </c>
    </row>
    <row r="20">
      <c r="A20" s="1" t="s">
        <v>299</v>
      </c>
      <c r="B20" s="1" t="s">
        <v>4271</v>
      </c>
    </row>
    <row r="21">
      <c r="A21" s="1" t="s">
        <v>322</v>
      </c>
      <c r="B21" s="1" t="s">
        <v>4271</v>
      </c>
    </row>
    <row r="22">
      <c r="A22" s="1" t="s">
        <v>331</v>
      </c>
      <c r="B22" s="1" t="s">
        <v>4275</v>
      </c>
    </row>
    <row r="23">
      <c r="A23" s="1" t="s">
        <v>354</v>
      </c>
      <c r="B23" s="1" t="s">
        <v>4274</v>
      </c>
    </row>
    <row r="24">
      <c r="A24" s="1" t="s">
        <v>383</v>
      </c>
      <c r="B24" s="1" t="s">
        <v>4276</v>
      </c>
    </row>
    <row r="25">
      <c r="A25" s="1" t="s">
        <v>388</v>
      </c>
      <c r="B25" s="1" t="s">
        <v>4270</v>
      </c>
    </row>
    <row r="26">
      <c r="A26" s="1" t="s">
        <v>415</v>
      </c>
      <c r="B26" s="1" t="s">
        <v>4275</v>
      </c>
    </row>
    <row r="27">
      <c r="A27" s="1" t="s">
        <v>444</v>
      </c>
      <c r="B27" s="1" t="s">
        <v>4271</v>
      </c>
    </row>
    <row r="28">
      <c r="A28" s="1" t="s">
        <v>460</v>
      </c>
      <c r="B28" s="1" t="s">
        <v>4274</v>
      </c>
    </row>
    <row r="29">
      <c r="A29" s="1" t="s">
        <v>489</v>
      </c>
      <c r="B29" s="1" t="s">
        <v>4275</v>
      </c>
    </row>
    <row r="30">
      <c r="A30" s="1" t="s">
        <v>513</v>
      </c>
      <c r="B30" s="1" t="s">
        <v>4275</v>
      </c>
    </row>
    <row r="31">
      <c r="A31" s="1" t="s">
        <v>520</v>
      </c>
      <c r="B31" s="1" t="s">
        <v>4273</v>
      </c>
    </row>
    <row r="32">
      <c r="A32" s="1" t="s">
        <v>535</v>
      </c>
      <c r="B32" s="1" t="s">
        <v>4271</v>
      </c>
    </row>
    <row r="33">
      <c r="A33" s="1" t="s">
        <v>552</v>
      </c>
      <c r="B33" s="1" t="s">
        <v>4274</v>
      </c>
    </row>
    <row r="34">
      <c r="A34" s="1" t="s">
        <v>581</v>
      </c>
      <c r="B34" s="1" t="s">
        <v>4274</v>
      </c>
    </row>
    <row r="35">
      <c r="A35" s="1" t="s">
        <v>609</v>
      </c>
      <c r="B35" s="1" t="s">
        <v>4274</v>
      </c>
    </row>
    <row r="36">
      <c r="A36" s="1" t="s">
        <v>635</v>
      </c>
      <c r="B36" s="1" t="s">
        <v>4273</v>
      </c>
    </row>
    <row r="37">
      <c r="A37" s="1" t="s">
        <v>663</v>
      </c>
      <c r="B37" s="1" t="s">
        <v>4274</v>
      </c>
    </row>
    <row r="38">
      <c r="A38" s="1" t="s">
        <v>692</v>
      </c>
      <c r="B38" s="1" t="s">
        <v>4276</v>
      </c>
    </row>
    <row r="39">
      <c r="A39" s="1" t="s">
        <v>709</v>
      </c>
      <c r="B39" s="1" t="s">
        <v>4275</v>
      </c>
    </row>
    <row r="40">
      <c r="A40" s="1" t="s">
        <v>714</v>
      </c>
      <c r="B40" s="1" t="s">
        <v>4274</v>
      </c>
    </row>
    <row r="41">
      <c r="A41" s="1" t="s">
        <v>743</v>
      </c>
      <c r="B41" s="1" t="s">
        <v>4274</v>
      </c>
    </row>
    <row r="42">
      <c r="A42" s="1" t="s">
        <v>772</v>
      </c>
      <c r="B42" s="1" t="s">
        <v>4271</v>
      </c>
    </row>
    <row r="43">
      <c r="A43" s="1" t="s">
        <v>779</v>
      </c>
      <c r="B43" s="1" t="s">
        <v>4275</v>
      </c>
    </row>
    <row r="44">
      <c r="A44" s="1" t="s">
        <v>792</v>
      </c>
      <c r="B44" s="1" t="s">
        <v>4273</v>
      </c>
    </row>
    <row r="45">
      <c r="A45" s="1" t="s">
        <v>820</v>
      </c>
      <c r="B45" s="1" t="s">
        <v>4273</v>
      </c>
    </row>
    <row r="46">
      <c r="A46" s="1" t="s">
        <v>823</v>
      </c>
      <c r="B46" s="1" t="s">
        <v>4273</v>
      </c>
    </row>
    <row r="47">
      <c r="A47" s="1" t="s">
        <v>826</v>
      </c>
      <c r="B47" s="1" t="s">
        <v>4275</v>
      </c>
    </row>
    <row r="48">
      <c r="A48" s="1" t="s">
        <v>852</v>
      </c>
      <c r="B48" s="1" t="s">
        <v>4274</v>
      </c>
    </row>
    <row r="49">
      <c r="A49" s="1" t="s">
        <v>873</v>
      </c>
      <c r="B49" s="1" t="s">
        <v>4274</v>
      </c>
    </row>
    <row r="50">
      <c r="A50" s="1" t="s">
        <v>902</v>
      </c>
      <c r="B50" s="1" t="s">
        <v>4273</v>
      </c>
    </row>
    <row r="51">
      <c r="A51" s="1" t="s">
        <v>911</v>
      </c>
      <c r="B51" s="1" t="s">
        <v>4275</v>
      </c>
    </row>
    <row r="52">
      <c r="A52" s="1" t="s">
        <v>934</v>
      </c>
      <c r="B52" s="1" t="s">
        <v>4274</v>
      </c>
    </row>
    <row r="53">
      <c r="A53" s="1" t="s">
        <v>963</v>
      </c>
      <c r="B53" s="1" t="s">
        <v>4271</v>
      </c>
    </row>
    <row r="54">
      <c r="A54" s="1" t="s">
        <v>968</v>
      </c>
      <c r="B54" s="1" t="s">
        <v>4275</v>
      </c>
    </row>
    <row r="55">
      <c r="A55" s="1" t="s">
        <v>997</v>
      </c>
      <c r="B55" s="1" t="s">
        <v>4275</v>
      </c>
    </row>
    <row r="56">
      <c r="A56" s="1" t="s">
        <v>1004</v>
      </c>
      <c r="B56" s="1" t="s">
        <v>4271</v>
      </c>
    </row>
    <row r="57">
      <c r="A57" s="1" t="s">
        <v>1021</v>
      </c>
      <c r="B57" s="1" t="s">
        <v>4271</v>
      </c>
    </row>
    <row r="58">
      <c r="A58" s="1" t="s">
        <v>1034</v>
      </c>
      <c r="B58" s="1" t="s">
        <v>4273</v>
      </c>
    </row>
    <row r="59">
      <c r="A59" s="1" t="s">
        <v>1060</v>
      </c>
      <c r="B59" s="1" t="s">
        <v>4274</v>
      </c>
    </row>
    <row r="60">
      <c r="A60" s="1" t="s">
        <v>1089</v>
      </c>
      <c r="B60" s="1" t="s">
        <v>4271</v>
      </c>
    </row>
    <row r="61">
      <c r="A61" s="1" t="s">
        <v>1097</v>
      </c>
      <c r="B61" s="1" t="s">
        <v>4274</v>
      </c>
    </row>
    <row r="62">
      <c r="A62" s="1" t="s">
        <v>1125</v>
      </c>
      <c r="B62" s="1" t="s">
        <v>4275</v>
      </c>
    </row>
    <row r="63">
      <c r="A63" s="1" t="s">
        <v>1132</v>
      </c>
      <c r="B63" s="1" t="s">
        <v>4275</v>
      </c>
    </row>
    <row r="64">
      <c r="A64" s="1" t="s">
        <v>1161</v>
      </c>
      <c r="B64" s="1" t="s">
        <v>4275</v>
      </c>
    </row>
    <row r="65">
      <c r="A65" s="1" t="s">
        <v>1186</v>
      </c>
      <c r="B65" s="1" t="s">
        <v>4272</v>
      </c>
    </row>
    <row r="66">
      <c r="A66" s="1" t="s">
        <v>1211</v>
      </c>
      <c r="B66" s="1" t="s">
        <v>4275</v>
      </c>
    </row>
    <row r="67">
      <c r="A67" s="1" t="s">
        <v>1237</v>
      </c>
      <c r="B67" s="1" t="s">
        <v>4274</v>
      </c>
    </row>
    <row r="68">
      <c r="A68" s="1" t="s">
        <v>1258</v>
      </c>
      <c r="B68" s="1" t="s">
        <v>4274</v>
      </c>
    </row>
    <row r="69">
      <c r="A69" s="1" t="s">
        <v>1279</v>
      </c>
      <c r="B69" s="1" t="s">
        <v>4271</v>
      </c>
    </row>
    <row r="70">
      <c r="A70" s="1" t="s">
        <v>1292</v>
      </c>
      <c r="B70" s="1" t="s">
        <v>4274</v>
      </c>
    </row>
    <row r="71">
      <c r="A71" s="1" t="s">
        <v>1321</v>
      </c>
      <c r="B71" s="1" t="s">
        <v>4274</v>
      </c>
    </row>
    <row r="72">
      <c r="A72" s="1" t="s">
        <v>1350</v>
      </c>
      <c r="B72" s="1" t="s">
        <v>4271</v>
      </c>
    </row>
    <row r="73">
      <c r="A73" s="1" t="s">
        <v>1355</v>
      </c>
      <c r="B73" s="1" t="s">
        <v>4275</v>
      </c>
    </row>
    <row r="74">
      <c r="A74" s="1" t="s">
        <v>1366</v>
      </c>
      <c r="B74" s="1" t="s">
        <v>4273</v>
      </c>
    </row>
    <row r="75">
      <c r="A75" s="1" t="s">
        <v>1389</v>
      </c>
      <c r="B75" s="1" t="s">
        <v>4271</v>
      </c>
    </row>
    <row r="76">
      <c r="A76" s="1" t="s">
        <v>1397</v>
      </c>
      <c r="B76" s="1" t="s">
        <v>4271</v>
      </c>
    </row>
    <row r="77">
      <c r="A77" s="1" t="s">
        <v>1404</v>
      </c>
      <c r="B77" s="1" t="s">
        <v>4275</v>
      </c>
    </row>
    <row r="78">
      <c r="A78" s="1" t="s">
        <v>1413</v>
      </c>
      <c r="B78" s="1" t="s">
        <v>4273</v>
      </c>
    </row>
    <row r="79">
      <c r="A79" s="1" t="s">
        <v>1418</v>
      </c>
      <c r="B79" s="1" t="s">
        <v>4274</v>
      </c>
    </row>
    <row r="80">
      <c r="A80" s="1" t="s">
        <v>1444</v>
      </c>
      <c r="B80" s="1" t="s">
        <v>4274</v>
      </c>
    </row>
    <row r="81">
      <c r="A81" s="1" t="s">
        <v>1473</v>
      </c>
      <c r="B81" s="1" t="s">
        <v>4271</v>
      </c>
    </row>
    <row r="82">
      <c r="A82" s="1" t="s">
        <v>1499</v>
      </c>
      <c r="B82" s="1" t="s">
        <v>4271</v>
      </c>
    </row>
    <row r="83">
      <c r="A83" s="1" t="s">
        <v>1506</v>
      </c>
      <c r="B83" s="1" t="s">
        <v>4274</v>
      </c>
    </row>
    <row r="84">
      <c r="A84" s="1" t="s">
        <v>1535</v>
      </c>
      <c r="B84" s="1" t="s">
        <v>4271</v>
      </c>
    </row>
    <row r="85">
      <c r="A85" s="1" t="s">
        <v>1538</v>
      </c>
      <c r="B85" s="1" t="s">
        <v>4271</v>
      </c>
    </row>
    <row r="86">
      <c r="A86" s="1" t="s">
        <v>1544</v>
      </c>
      <c r="B86" s="1" t="s">
        <v>4276</v>
      </c>
    </row>
    <row r="87">
      <c r="A87" s="1" t="s">
        <v>1550</v>
      </c>
      <c r="B87" s="1" t="s">
        <v>4275</v>
      </c>
    </row>
    <row r="88">
      <c r="A88" s="1" t="s">
        <v>1558</v>
      </c>
      <c r="B88" s="1" t="s">
        <v>4275</v>
      </c>
    </row>
    <row r="89">
      <c r="A89" s="1" t="s">
        <v>1567</v>
      </c>
      <c r="B89" s="1" t="s">
        <v>4273</v>
      </c>
    </row>
    <row r="90">
      <c r="A90" s="1" t="s">
        <v>1574</v>
      </c>
      <c r="B90" s="1" t="s">
        <v>4275</v>
      </c>
    </row>
    <row r="91">
      <c r="A91" s="1" t="s">
        <v>1603</v>
      </c>
      <c r="B91" s="1" t="s">
        <v>4274</v>
      </c>
    </row>
    <row r="92">
      <c r="A92" s="1" t="s">
        <v>1631</v>
      </c>
      <c r="B92" s="1" t="s">
        <v>4274</v>
      </c>
    </row>
    <row r="93">
      <c r="A93" s="1" t="s">
        <v>1660</v>
      </c>
      <c r="B93" s="1" t="s">
        <v>4275</v>
      </c>
    </row>
    <row r="94">
      <c r="A94" s="1" t="s">
        <v>1681</v>
      </c>
      <c r="B94" s="1" t="s">
        <v>4274</v>
      </c>
    </row>
    <row r="95">
      <c r="A95" s="1" t="s">
        <v>1706</v>
      </c>
      <c r="B95" s="1" t="s">
        <v>4275</v>
      </c>
    </row>
    <row r="96">
      <c r="A96" s="1" t="s">
        <v>1732</v>
      </c>
      <c r="B96" s="1" t="s">
        <v>4271</v>
      </c>
    </row>
    <row r="97">
      <c r="A97" s="1" t="s">
        <v>1743</v>
      </c>
      <c r="B97" s="1" t="s">
        <v>4271</v>
      </c>
    </row>
    <row r="98">
      <c r="A98" s="1" t="s">
        <v>1750</v>
      </c>
      <c r="B98" s="1" t="s">
        <v>4270</v>
      </c>
    </row>
    <row r="99">
      <c r="A99" s="1" t="s">
        <v>1779</v>
      </c>
      <c r="B99" s="1" t="s">
        <v>4273</v>
      </c>
    </row>
    <row r="100">
      <c r="A100" s="1" t="s">
        <v>1808</v>
      </c>
      <c r="B100" s="1" t="s">
        <v>4270</v>
      </c>
    </row>
    <row r="101">
      <c r="A101" s="1" t="s">
        <v>1834</v>
      </c>
      <c r="B101" s="1" t="s">
        <v>4272</v>
      </c>
    </row>
    <row r="102">
      <c r="A102" s="1" t="s">
        <v>1860</v>
      </c>
      <c r="B102" s="1" t="s">
        <v>4271</v>
      </c>
    </row>
    <row r="103">
      <c r="A103" s="1" t="s">
        <v>1877</v>
      </c>
      <c r="B103" s="1" t="s">
        <v>4271</v>
      </c>
    </row>
    <row r="104">
      <c r="A104" s="1" t="s">
        <v>1884</v>
      </c>
      <c r="B104" s="1" t="s">
        <v>4271</v>
      </c>
    </row>
    <row r="105">
      <c r="A105" s="1" t="s">
        <v>1890</v>
      </c>
      <c r="B105" s="1" t="s">
        <v>4271</v>
      </c>
    </row>
    <row r="106">
      <c r="A106" s="1" t="s">
        <v>1897</v>
      </c>
      <c r="B106" s="1" t="s">
        <v>4275</v>
      </c>
    </row>
    <row r="107">
      <c r="A107" s="1" t="s">
        <v>1926</v>
      </c>
      <c r="B107" s="1" t="s">
        <v>4273</v>
      </c>
    </row>
    <row r="108">
      <c r="A108" s="1" t="s">
        <v>1935</v>
      </c>
      <c r="B108" s="1" t="s">
        <v>4272</v>
      </c>
    </row>
    <row r="109">
      <c r="A109" s="1" t="s">
        <v>1962</v>
      </c>
      <c r="B109" s="1" t="s">
        <v>4271</v>
      </c>
    </row>
    <row r="110">
      <c r="A110" s="1" t="s">
        <v>1987</v>
      </c>
      <c r="B110" s="1" t="s">
        <v>4274</v>
      </c>
    </row>
    <row r="111">
      <c r="A111" s="1" t="s">
        <v>2016</v>
      </c>
      <c r="B111" s="1" t="s">
        <v>4273</v>
      </c>
    </row>
    <row r="112">
      <c r="A112" s="1" t="s">
        <v>2039</v>
      </c>
      <c r="B112" s="1" t="s">
        <v>4272</v>
      </c>
    </row>
    <row r="113">
      <c r="A113" s="1" t="s">
        <v>2042</v>
      </c>
      <c r="B113" s="1" t="s">
        <v>4271</v>
      </c>
    </row>
    <row r="114">
      <c r="A114" s="1" t="s">
        <v>2069</v>
      </c>
      <c r="B114" s="1" t="s">
        <v>4273</v>
      </c>
    </row>
    <row r="115">
      <c r="A115" s="1" t="s">
        <v>2096</v>
      </c>
      <c r="B115" s="1" t="s">
        <v>4271</v>
      </c>
    </row>
    <row r="116">
      <c r="A116" s="1" t="s">
        <v>2117</v>
      </c>
      <c r="B116" s="1" t="s">
        <v>4272</v>
      </c>
    </row>
    <row r="117">
      <c r="A117" s="1" t="s">
        <v>2128</v>
      </c>
      <c r="B117" s="1" t="s">
        <v>4274</v>
      </c>
    </row>
    <row r="118">
      <c r="A118" s="1" t="s">
        <v>2157</v>
      </c>
      <c r="B118" s="1" t="s">
        <v>4274</v>
      </c>
    </row>
    <row r="119">
      <c r="A119" s="1" t="s">
        <v>2186</v>
      </c>
      <c r="B119" s="1" t="s">
        <v>4274</v>
      </c>
    </row>
    <row r="120">
      <c r="A120" s="1" t="s">
        <v>2195</v>
      </c>
      <c r="B120" s="1" t="s">
        <v>4271</v>
      </c>
    </row>
    <row r="121">
      <c r="A121" s="1" t="s">
        <v>2200</v>
      </c>
      <c r="B121" s="1" t="s">
        <v>4271</v>
      </c>
    </row>
    <row r="122">
      <c r="A122" s="1" t="s">
        <v>2215</v>
      </c>
      <c r="B122" s="1" t="s">
        <v>4271</v>
      </c>
    </row>
    <row r="123">
      <c r="A123" s="1" t="s">
        <v>2228</v>
      </c>
      <c r="B123" s="1" t="s">
        <v>4274</v>
      </c>
    </row>
    <row r="124">
      <c r="A124" s="1" t="s">
        <v>2257</v>
      </c>
      <c r="B124" s="1" t="s">
        <v>4274</v>
      </c>
    </row>
    <row r="125">
      <c r="A125" s="1" t="s">
        <v>2286</v>
      </c>
      <c r="B125" s="1" t="s">
        <v>4270</v>
      </c>
    </row>
    <row r="126">
      <c r="A126" s="1" t="s">
        <v>2310</v>
      </c>
      <c r="B126" s="1" t="s">
        <v>4270</v>
      </c>
    </row>
    <row r="127">
      <c r="A127" s="1" t="s">
        <v>2331</v>
      </c>
      <c r="B127" s="1" t="s">
        <v>4274</v>
      </c>
    </row>
    <row r="128">
      <c r="A128" s="1" t="s">
        <v>2359</v>
      </c>
      <c r="B128" s="1" t="s">
        <v>4271</v>
      </c>
    </row>
    <row r="129">
      <c r="A129" s="1" t="s">
        <v>2365</v>
      </c>
      <c r="B129" s="1" t="s">
        <v>4273</v>
      </c>
    </row>
    <row r="130">
      <c r="A130" s="1" t="s">
        <v>2387</v>
      </c>
      <c r="B130" s="1" t="s">
        <v>4275</v>
      </c>
    </row>
    <row r="131">
      <c r="A131" s="1" t="s">
        <v>2396</v>
      </c>
      <c r="B131" s="1" t="s">
        <v>4274</v>
      </c>
    </row>
    <row r="132">
      <c r="A132" s="1" t="s">
        <v>2423</v>
      </c>
      <c r="B132" s="1" t="s">
        <v>4274</v>
      </c>
    </row>
    <row r="133">
      <c r="A133" s="1" t="s">
        <v>2436</v>
      </c>
      <c r="B133" s="1" t="s">
        <v>4274</v>
      </c>
    </row>
    <row r="134">
      <c r="A134" s="1" t="s">
        <v>2446</v>
      </c>
      <c r="B134" s="1" t="s">
        <v>4275</v>
      </c>
    </row>
    <row r="135">
      <c r="A135" s="1" t="s">
        <v>2464</v>
      </c>
      <c r="B135" s="1" t="s">
        <v>4273</v>
      </c>
    </row>
    <row r="136">
      <c r="A136" s="1" t="s">
        <v>2471</v>
      </c>
      <c r="B136" s="1" t="s">
        <v>4271</v>
      </c>
    </row>
    <row r="137">
      <c r="A137" s="1" t="s">
        <v>2474</v>
      </c>
      <c r="B137" s="1" t="s">
        <v>4273</v>
      </c>
    </row>
    <row r="138">
      <c r="A138" s="1" t="s">
        <v>2502</v>
      </c>
      <c r="B138" s="1" t="s">
        <v>4271</v>
      </c>
    </row>
    <row r="139">
      <c r="A139" s="1" t="s">
        <v>2527</v>
      </c>
      <c r="B139" s="1" t="s">
        <v>4275</v>
      </c>
    </row>
    <row r="140">
      <c r="A140" s="1" t="s">
        <v>2536</v>
      </c>
      <c r="B140" s="1" t="s">
        <v>4272</v>
      </c>
    </row>
    <row r="141">
      <c r="A141" s="1" t="s">
        <v>2564</v>
      </c>
      <c r="B141" s="1" t="s">
        <v>4274</v>
      </c>
    </row>
    <row r="142">
      <c r="A142" s="1" t="s">
        <v>2593</v>
      </c>
      <c r="B142" s="1" t="s">
        <v>4273</v>
      </c>
    </row>
    <row r="143">
      <c r="A143" s="1" t="s">
        <v>2621</v>
      </c>
      <c r="B143" s="1" t="s">
        <v>4274</v>
      </c>
    </row>
    <row r="144">
      <c r="A144" s="1" t="s">
        <v>2650</v>
      </c>
      <c r="B144" s="1" t="s">
        <v>4273</v>
      </c>
    </row>
    <row r="145">
      <c r="A145" s="1" t="s">
        <v>2653</v>
      </c>
      <c r="B145" s="1" t="s">
        <v>4270</v>
      </c>
    </row>
    <row r="146">
      <c r="A146" s="1" t="s">
        <v>2682</v>
      </c>
      <c r="B146" s="1" t="s">
        <v>4271</v>
      </c>
    </row>
    <row r="147">
      <c r="A147" s="1" t="s">
        <v>2691</v>
      </c>
      <c r="B147" s="1" t="s">
        <v>4273</v>
      </c>
    </row>
    <row r="148">
      <c r="A148" s="1" t="s">
        <v>2700</v>
      </c>
      <c r="B148" s="1" t="s">
        <v>4273</v>
      </c>
    </row>
    <row r="149">
      <c r="A149" s="1" t="s">
        <v>2708</v>
      </c>
      <c r="B149" s="1" t="s">
        <v>4275</v>
      </c>
    </row>
    <row r="150">
      <c r="A150" s="1" t="s">
        <v>2737</v>
      </c>
      <c r="B150" s="1" t="s">
        <v>4274</v>
      </c>
    </row>
    <row r="151">
      <c r="A151" s="1" t="s">
        <v>2766</v>
      </c>
      <c r="B151" s="1" t="s">
        <v>4274</v>
      </c>
    </row>
    <row r="152">
      <c r="A152" s="1" t="s">
        <v>2795</v>
      </c>
      <c r="B152" s="1" t="s">
        <v>4273</v>
      </c>
    </row>
    <row r="153">
      <c r="A153" s="1" t="s">
        <v>2804</v>
      </c>
      <c r="B153" s="1" t="s">
        <v>4271</v>
      </c>
    </row>
    <row r="154">
      <c r="A154" s="1" t="s">
        <v>2830</v>
      </c>
      <c r="B154" s="1" t="s">
        <v>4273</v>
      </c>
    </row>
    <row r="155">
      <c r="A155" s="1" t="s">
        <v>2837</v>
      </c>
      <c r="B155" s="1" t="s">
        <v>4271</v>
      </c>
    </row>
    <row r="156">
      <c r="A156" s="1" t="s">
        <v>2845</v>
      </c>
      <c r="B156" s="1" t="s">
        <v>4272</v>
      </c>
    </row>
    <row r="157">
      <c r="A157" s="1" t="s">
        <v>2872</v>
      </c>
      <c r="B157" s="1" t="s">
        <v>4270</v>
      </c>
    </row>
    <row r="158">
      <c r="A158" s="1" t="s">
        <v>2901</v>
      </c>
      <c r="B158" s="1" t="s">
        <v>4273</v>
      </c>
    </row>
    <row r="159">
      <c r="A159" s="1" t="s">
        <v>2918</v>
      </c>
      <c r="B159" s="1" t="s">
        <v>4275</v>
      </c>
    </row>
    <row r="160">
      <c r="A160" s="1" t="s">
        <v>2945</v>
      </c>
      <c r="B160" s="1" t="s">
        <v>4273</v>
      </c>
    </row>
    <row r="161">
      <c r="A161" s="1" t="s">
        <v>2974</v>
      </c>
      <c r="B161" s="1" t="s">
        <v>4275</v>
      </c>
    </row>
    <row r="162">
      <c r="A162" s="1" t="s">
        <v>2997</v>
      </c>
      <c r="B162" s="1" t="s">
        <v>4275</v>
      </c>
    </row>
    <row r="163">
      <c r="A163" s="1" t="s">
        <v>3026</v>
      </c>
      <c r="B163" s="1" t="s">
        <v>4270</v>
      </c>
    </row>
    <row r="164">
      <c r="A164" s="1" t="s">
        <v>3052</v>
      </c>
      <c r="B164" s="1" t="s">
        <v>4271</v>
      </c>
    </row>
    <row r="165">
      <c r="A165" s="1" t="s">
        <v>3067</v>
      </c>
      <c r="B165" s="1" t="s">
        <v>4271</v>
      </c>
    </row>
    <row r="166">
      <c r="A166" s="1" t="s">
        <v>3078</v>
      </c>
      <c r="B166" s="1" t="s">
        <v>4275</v>
      </c>
    </row>
    <row r="167">
      <c r="A167" s="1" t="s">
        <v>3085</v>
      </c>
      <c r="B167" s="1" t="s">
        <v>4271</v>
      </c>
    </row>
    <row r="168">
      <c r="A168" s="1" t="s">
        <v>3094</v>
      </c>
      <c r="B168" s="1" t="s">
        <v>4273</v>
      </c>
    </row>
    <row r="169">
      <c r="A169" s="1" t="s">
        <v>3103</v>
      </c>
      <c r="B169" s="1" t="s">
        <v>4271</v>
      </c>
    </row>
    <row r="170">
      <c r="A170" s="1" t="s">
        <v>3126</v>
      </c>
      <c r="B170" s="1" t="s">
        <v>4274</v>
      </c>
    </row>
    <row r="171">
      <c r="A171" s="1" t="s">
        <v>3133</v>
      </c>
      <c r="B171" s="1" t="s">
        <v>4271</v>
      </c>
    </row>
    <row r="172">
      <c r="A172" s="1" t="s">
        <v>3138</v>
      </c>
      <c r="B172" s="1" t="s">
        <v>4271</v>
      </c>
    </row>
    <row r="173">
      <c r="A173" s="1" t="s">
        <v>3162</v>
      </c>
      <c r="B173" s="1" t="s">
        <v>4274</v>
      </c>
    </row>
    <row r="174">
      <c r="A174" s="1" t="s">
        <v>3191</v>
      </c>
      <c r="B174" s="1" t="s">
        <v>4275</v>
      </c>
    </row>
    <row r="175">
      <c r="A175" s="1" t="s">
        <v>3196</v>
      </c>
      <c r="B175" s="1" t="s">
        <v>4274</v>
      </c>
    </row>
    <row r="176">
      <c r="A176" s="1" t="s">
        <v>3205</v>
      </c>
      <c r="B176" s="1" t="s">
        <v>4275</v>
      </c>
    </row>
    <row r="177">
      <c r="A177" s="1" t="s">
        <v>3212</v>
      </c>
      <c r="B177" s="1" t="s">
        <v>4275</v>
      </c>
    </row>
    <row r="178">
      <c r="A178" s="1" t="s">
        <v>3235</v>
      </c>
      <c r="B178" s="1" t="s">
        <v>4275</v>
      </c>
    </row>
    <row r="179">
      <c r="A179" s="1" t="s">
        <v>3242</v>
      </c>
      <c r="B179" s="1" t="s">
        <v>4276</v>
      </c>
    </row>
    <row r="180">
      <c r="A180" s="1" t="s">
        <v>3249</v>
      </c>
      <c r="B180" s="1" t="s">
        <v>4275</v>
      </c>
    </row>
    <row r="181">
      <c r="A181" s="1" t="s">
        <v>3259</v>
      </c>
      <c r="B181" s="1" t="s">
        <v>4273</v>
      </c>
    </row>
    <row r="182">
      <c r="A182" s="1" t="s">
        <v>3286</v>
      </c>
      <c r="B182" s="1" t="s">
        <v>4271</v>
      </c>
    </row>
    <row r="183">
      <c r="A183" s="1" t="s">
        <v>3291</v>
      </c>
      <c r="B183" s="1" t="s">
        <v>4274</v>
      </c>
    </row>
    <row r="184">
      <c r="A184" s="1" t="s">
        <v>3318</v>
      </c>
      <c r="B184" s="1" t="s">
        <v>4271</v>
      </c>
    </row>
    <row r="185">
      <c r="A185" s="1" t="s">
        <v>3325</v>
      </c>
      <c r="B185" s="1" t="s">
        <v>4274</v>
      </c>
    </row>
    <row r="186">
      <c r="A186" s="1" t="s">
        <v>3353</v>
      </c>
      <c r="B186" s="1" t="s">
        <v>4271</v>
      </c>
    </row>
    <row r="187">
      <c r="A187" s="1" t="s">
        <v>3380</v>
      </c>
      <c r="B187" s="1" t="s">
        <v>4273</v>
      </c>
    </row>
    <row r="188">
      <c r="A188" s="1" t="s">
        <v>3389</v>
      </c>
      <c r="B188" s="1" t="s">
        <v>4274</v>
      </c>
    </row>
    <row r="189">
      <c r="A189" s="1" t="s">
        <v>3418</v>
      </c>
      <c r="B189" s="1" t="s">
        <v>4273</v>
      </c>
    </row>
    <row r="190">
      <c r="A190" s="1" t="s">
        <v>3421</v>
      </c>
      <c r="B190" s="1" t="s">
        <v>4275</v>
      </c>
    </row>
    <row r="191">
      <c r="A191" s="1" t="s">
        <v>3426</v>
      </c>
      <c r="B191" s="1" t="s">
        <v>4271</v>
      </c>
    </row>
    <row r="192">
      <c r="A192" s="1" t="s">
        <v>3437</v>
      </c>
      <c r="B192" s="1" t="s">
        <v>4271</v>
      </c>
    </row>
    <row r="193">
      <c r="A193" s="1" t="s">
        <v>3444</v>
      </c>
      <c r="B193" s="1" t="s">
        <v>4273</v>
      </c>
    </row>
    <row r="194">
      <c r="A194" s="1" t="s">
        <v>3473</v>
      </c>
      <c r="B194" s="1" t="s">
        <v>4274</v>
      </c>
    </row>
    <row r="195">
      <c r="A195" s="1" t="s">
        <v>3501</v>
      </c>
      <c r="B195" s="1" t="s">
        <v>4274</v>
      </c>
    </row>
    <row r="196">
      <c r="A196" s="1" t="s">
        <v>3528</v>
      </c>
      <c r="B196" s="1" t="s">
        <v>4274</v>
      </c>
    </row>
    <row r="197">
      <c r="A197" s="1" t="s">
        <v>3556</v>
      </c>
      <c r="B197" s="1" t="s">
        <v>4271</v>
      </c>
    </row>
    <row r="198">
      <c r="A198" s="1" t="s">
        <v>3567</v>
      </c>
      <c r="B198" s="1" t="s">
        <v>4270</v>
      </c>
    </row>
    <row r="199">
      <c r="A199" s="1" t="s">
        <v>3594</v>
      </c>
      <c r="B199" s="1" t="s">
        <v>4272</v>
      </c>
    </row>
    <row r="200">
      <c r="A200" s="1" t="s">
        <v>3622</v>
      </c>
      <c r="B200" s="1" t="s">
        <v>4275</v>
      </c>
    </row>
    <row r="201">
      <c r="A201" s="1" t="s">
        <v>3650</v>
      </c>
      <c r="B201" s="1" t="s">
        <v>4271</v>
      </c>
    </row>
    <row r="202">
      <c r="A202" s="1" t="s">
        <v>3667</v>
      </c>
      <c r="B202" s="1" t="s">
        <v>4271</v>
      </c>
    </row>
    <row r="203">
      <c r="A203" s="1" t="s">
        <v>3673</v>
      </c>
      <c r="B203" s="1" t="s">
        <v>4272</v>
      </c>
    </row>
    <row r="204">
      <c r="A204" s="1" t="s">
        <v>3695</v>
      </c>
      <c r="B204" s="1" t="s">
        <v>4271</v>
      </c>
    </row>
    <row r="205">
      <c r="A205" s="1" t="s">
        <v>3724</v>
      </c>
      <c r="B205" s="1" t="s">
        <v>4273</v>
      </c>
    </row>
    <row r="206">
      <c r="A206" s="1" t="s">
        <v>3740</v>
      </c>
      <c r="B206" s="1" t="s">
        <v>4273</v>
      </c>
    </row>
    <row r="207">
      <c r="A207" s="1" t="s">
        <v>3768</v>
      </c>
      <c r="B207" s="1" t="s">
        <v>4274</v>
      </c>
    </row>
    <row r="208">
      <c r="A208" s="1" t="s">
        <v>3797</v>
      </c>
      <c r="B208" s="1" t="s">
        <v>4273</v>
      </c>
    </row>
    <row r="209">
      <c r="A209" s="1" t="s">
        <v>3804</v>
      </c>
      <c r="B209" s="1" t="s">
        <v>4273</v>
      </c>
    </row>
    <row r="210">
      <c r="A210" s="1" t="s">
        <v>3827</v>
      </c>
      <c r="B210" s="1" t="s">
        <v>4275</v>
      </c>
    </row>
    <row r="211">
      <c r="A211" s="1" t="s">
        <v>3838</v>
      </c>
      <c r="B211" s="1" t="s">
        <v>4274</v>
      </c>
    </row>
    <row r="212">
      <c r="A212" s="1" t="s">
        <v>3862</v>
      </c>
      <c r="B212" s="1" t="s">
        <v>4271</v>
      </c>
    </row>
    <row r="213">
      <c r="A213" s="1" t="s">
        <v>3891</v>
      </c>
      <c r="B213" s="1" t="s">
        <v>4271</v>
      </c>
    </row>
    <row r="214">
      <c r="A214" s="1" t="s">
        <v>3907</v>
      </c>
      <c r="B214" s="1" t="s">
        <v>4275</v>
      </c>
    </row>
    <row r="215">
      <c r="A215" s="1" t="s">
        <v>3914</v>
      </c>
      <c r="B215" s="1" t="s">
        <v>4273</v>
      </c>
    </row>
    <row r="216">
      <c r="A216" s="1" t="s">
        <v>3919</v>
      </c>
      <c r="B216" s="1" t="s">
        <v>4274</v>
      </c>
    </row>
    <row r="217">
      <c r="A217" s="1" t="s">
        <v>3948</v>
      </c>
      <c r="B217" s="1" t="s">
        <v>4271</v>
      </c>
    </row>
    <row r="218">
      <c r="A218" s="1" t="s">
        <v>3972</v>
      </c>
      <c r="B218" s="1" t="s">
        <v>4271</v>
      </c>
    </row>
    <row r="219">
      <c r="A219" s="1" t="s">
        <v>3981</v>
      </c>
      <c r="B219" s="1" t="s">
        <v>4271</v>
      </c>
    </row>
    <row r="220">
      <c r="A220" s="1" t="s">
        <v>3987</v>
      </c>
      <c r="B220" s="1" t="s">
        <v>4274</v>
      </c>
    </row>
    <row r="221">
      <c r="A221" s="1" t="s">
        <v>4277</v>
      </c>
      <c r="B221" s="1" t="s">
        <v>4276</v>
      </c>
    </row>
    <row r="222">
      <c r="A222" s="1" t="s">
        <v>4016</v>
      </c>
      <c r="B222" s="1" t="s">
        <v>4276</v>
      </c>
    </row>
    <row r="223">
      <c r="A223" s="1" t="s">
        <v>4033</v>
      </c>
      <c r="B223" s="1" t="s">
        <v>4275</v>
      </c>
    </row>
    <row r="224">
      <c r="A224" s="1" t="s">
        <v>4042</v>
      </c>
      <c r="B224" s="1" t="s">
        <v>4275</v>
      </c>
    </row>
    <row r="225">
      <c r="A225" s="1" t="s">
        <v>4064</v>
      </c>
      <c r="B225" s="1" t="s">
        <v>4271</v>
      </c>
    </row>
    <row r="226">
      <c r="A226" s="1" t="s">
        <v>4082</v>
      </c>
      <c r="B226" s="1" t="s">
        <v>4273</v>
      </c>
    </row>
    <row r="227">
      <c r="A227" s="1" t="s">
        <v>4104</v>
      </c>
      <c r="B227" s="1" t="s">
        <v>4275</v>
      </c>
    </row>
    <row r="228">
      <c r="A228" s="1" t="s">
        <v>4116</v>
      </c>
      <c r="B228" s="1" t="s">
        <v>4273</v>
      </c>
    </row>
    <row r="229">
      <c r="A229" s="1" t="s">
        <v>4137</v>
      </c>
      <c r="B229" s="1" t="s">
        <v>4273</v>
      </c>
    </row>
    <row r="230">
      <c r="A230" s="1" t="s">
        <v>4144</v>
      </c>
      <c r="B230" s="1" t="s">
        <v>4271</v>
      </c>
    </row>
    <row r="231">
      <c r="A231" s="1" t="s">
        <v>4167</v>
      </c>
      <c r="B231" s="1" t="s">
        <v>4271</v>
      </c>
    </row>
    <row r="232">
      <c r="A232" s="1" t="s">
        <v>4195</v>
      </c>
      <c r="B232" s="1" t="s">
        <v>4274</v>
      </c>
    </row>
    <row r="233">
      <c r="A233" s="1" t="s">
        <v>4224</v>
      </c>
      <c r="B233" s="1" t="s">
        <v>4274</v>
      </c>
    </row>
  </sheetData>
  <drawing r:id="rId1"/>
</worksheet>
</file>